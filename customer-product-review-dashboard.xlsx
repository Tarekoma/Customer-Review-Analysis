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iT\Documents\Excel Sheets\"/>
    </mc:Choice>
  </mc:AlternateContent>
  <xr:revisionPtr revIDLastSave="0" documentId="8_{EFCEDE51-E515-4D2A-B71F-7817E91F86D4}" xr6:coauthVersionLast="47" xr6:coauthVersionMax="47" xr10:uidLastSave="{00000000-0000-0000-0000-000000000000}"/>
  <bookViews>
    <workbookView xWindow="-108" yWindow="-108" windowWidth="23256" windowHeight="12576" activeTab="2" xr2:uid="{00000000-000D-0000-FFFF-FFFF00000000}"/>
  </bookViews>
  <sheets>
    <sheet name="Dataset" sheetId="1" r:id="rId1"/>
    <sheet name="Pivot Tables" sheetId="5" r:id="rId2"/>
    <sheet name="Dashboard" sheetId="3" r:id="rId3"/>
  </sheets>
  <definedNames>
    <definedName name="_xlnm._FilterDatabase" localSheetId="0" hidden="1">Dataset!$A$1:$P$1</definedName>
    <definedName name="_xlcn.WorksheetConnection_Sheet1A1R2011" hidden="1">Dataset!$A$1:$R$201</definedName>
    <definedName name="_xlcn.WorksheetConnection_Sheet1BB1" hidden="1">Dataset!$B:$B</definedName>
    <definedName name="_xlcn.WorksheetConnection_Sheet1GG1" hidden="1">Dataset!$G:$G</definedName>
    <definedName name="Slicer_customer_location_country1">#N/A</definedName>
    <definedName name="Slicer_rating1">#N/A</definedName>
    <definedName name="Slicer_review_date_month">#N/A</definedName>
  </definedNames>
  <calcPr calcId="191029"/>
  <pivotCaches>
    <pivotCache cacheId="4620" r:id="rId4"/>
    <pivotCache cacheId="4767" r:id="rId5"/>
    <pivotCache cacheId="4770" r:id="rId6"/>
    <pivotCache cacheId="4773" r:id="rId7"/>
    <pivotCache cacheId="4776" r:id="rId8"/>
    <pivotCache cacheId="4779" r:id="rId9"/>
    <pivotCache cacheId="4782" r:id="rId10"/>
    <pivotCache cacheId="4785" r:id="rId11"/>
    <pivotCache cacheId="4788" r:id="rId12"/>
    <pivotCache cacheId="4791" r:id="rId13"/>
    <pivotCache cacheId="4794" r:id="rId14"/>
    <pivotCache cacheId="4797" r:id="rId15"/>
    <pivotCache cacheId="4800" r:id="rId16"/>
    <pivotCache cacheId="4803" r:id="rId17"/>
    <pivotCache cacheId="4806" r:id="rId18"/>
    <pivotCache cacheId="4812" r:id="rId19"/>
    <pivotCache cacheId="4815" r:id="rId20"/>
  </pivotCaches>
  <fileRecoveryPr repairLoad="1"/>
  <extLst>
    <ext xmlns:x14="http://schemas.microsoft.com/office/spreadsheetml/2009/9/main" uri="{876F7934-8845-4945-9796-88D515C7AA90}">
      <x14:pivotCaches>
        <pivotCache cacheId="233"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2" name="Range 2" connection="WorksheetConnection_Sheet1!$G:$G"/>
          <x15:modelTable id="Range" name="Range" connection="WorksheetConnection_Sheet1!$B:$B"/>
          <x15:modelTable id="Range 1" name="Range 1" connection="WorksheetConnection_Sheet1!$A$1:$R$2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R3" i="1"/>
  <c r="Q4" i="1"/>
  <c r="R4" i="1"/>
  <c r="Q5" i="1"/>
  <c r="R5" i="1"/>
  <c r="Q6" i="1"/>
  <c r="R6" i="1"/>
  <c r="Q7" i="1"/>
  <c r="R7" i="1"/>
  <c r="Q8" i="1"/>
  <c r="R8" i="1"/>
  <c r="Q9" i="1"/>
  <c r="R9" i="1"/>
  <c r="Q10" i="1"/>
  <c r="R10" i="1"/>
  <c r="Q11" i="1"/>
  <c r="R11" i="1"/>
  <c r="Q12" i="1"/>
  <c r="R12" i="1"/>
  <c r="Q13" i="1"/>
  <c r="R13" i="1"/>
  <c r="Q14" i="1"/>
  <c r="R14" i="1"/>
  <c r="Q15" i="1"/>
  <c r="R15" i="1"/>
  <c r="Q16" i="1"/>
  <c r="R16" i="1"/>
  <c r="Q17" i="1"/>
  <c r="R17" i="1"/>
  <c r="Q18" i="1"/>
  <c r="R18" i="1"/>
  <c r="Q19" i="1"/>
  <c r="R19" i="1"/>
  <c r="Q20" i="1"/>
  <c r="R20" i="1"/>
  <c r="Q21" i="1"/>
  <c r="R21" i="1"/>
  <c r="Q22" i="1"/>
  <c r="R22" i="1"/>
  <c r="Q23" i="1"/>
  <c r="R23" i="1"/>
  <c r="Q24" i="1"/>
  <c r="R24" i="1"/>
  <c r="Q25" i="1"/>
  <c r="R25" i="1"/>
  <c r="Q26" i="1"/>
  <c r="R26" i="1"/>
  <c r="Q27" i="1"/>
  <c r="R27" i="1"/>
  <c r="Q28" i="1"/>
  <c r="R28" i="1"/>
  <c r="Q29" i="1"/>
  <c r="R29" i="1"/>
  <c r="Q30" i="1"/>
  <c r="R30" i="1"/>
  <c r="Q31" i="1"/>
  <c r="R31" i="1"/>
  <c r="Q32" i="1"/>
  <c r="R32" i="1"/>
  <c r="Q33" i="1"/>
  <c r="R33" i="1"/>
  <c r="Q34" i="1"/>
  <c r="R34" i="1"/>
  <c r="Q35" i="1"/>
  <c r="R35" i="1"/>
  <c r="Q36" i="1"/>
  <c r="R36" i="1"/>
  <c r="Q37" i="1"/>
  <c r="R37" i="1"/>
  <c r="Q38" i="1"/>
  <c r="R38" i="1"/>
  <c r="Q39" i="1"/>
  <c r="R39" i="1"/>
  <c r="Q40" i="1"/>
  <c r="R40" i="1"/>
  <c r="Q41" i="1"/>
  <c r="R41" i="1"/>
  <c r="Q42" i="1"/>
  <c r="R42" i="1"/>
  <c r="Q43" i="1"/>
  <c r="R43" i="1"/>
  <c r="Q44" i="1"/>
  <c r="R44" i="1"/>
  <c r="Q45" i="1"/>
  <c r="R45" i="1"/>
  <c r="Q46" i="1"/>
  <c r="R46" i="1"/>
  <c r="Q47" i="1"/>
  <c r="R47" i="1"/>
  <c r="Q48" i="1"/>
  <c r="R48" i="1"/>
  <c r="Q49" i="1"/>
  <c r="R49" i="1"/>
  <c r="Q50" i="1"/>
  <c r="R50" i="1"/>
  <c r="Q51" i="1"/>
  <c r="R51" i="1"/>
  <c r="Q52" i="1"/>
  <c r="R52" i="1"/>
  <c r="Q53" i="1"/>
  <c r="R53" i="1"/>
  <c r="Q54" i="1"/>
  <c r="R54" i="1"/>
  <c r="Q55" i="1"/>
  <c r="R55" i="1"/>
  <c r="Q56" i="1"/>
  <c r="R56" i="1"/>
  <c r="Q57" i="1"/>
  <c r="R57" i="1"/>
  <c r="Q58" i="1"/>
  <c r="R58" i="1"/>
  <c r="Q59" i="1"/>
  <c r="R59" i="1"/>
  <c r="Q60" i="1"/>
  <c r="R60" i="1"/>
  <c r="Q61" i="1"/>
  <c r="R61" i="1"/>
  <c r="Q62" i="1"/>
  <c r="R62" i="1"/>
  <c r="Q63" i="1"/>
  <c r="R63" i="1"/>
  <c r="Q64" i="1"/>
  <c r="R64" i="1"/>
  <c r="Q65" i="1"/>
  <c r="R65" i="1"/>
  <c r="Q66" i="1"/>
  <c r="R66" i="1"/>
  <c r="Q67" i="1"/>
  <c r="R67" i="1"/>
  <c r="Q68" i="1"/>
  <c r="R68" i="1"/>
  <c r="Q69" i="1"/>
  <c r="R69" i="1"/>
  <c r="Q70" i="1"/>
  <c r="R70" i="1"/>
  <c r="Q71" i="1"/>
  <c r="R71" i="1"/>
  <c r="Q72" i="1"/>
  <c r="R72" i="1"/>
  <c r="Q73" i="1"/>
  <c r="R73" i="1"/>
  <c r="Q74" i="1"/>
  <c r="R74" i="1"/>
  <c r="Q75" i="1"/>
  <c r="R75" i="1"/>
  <c r="Q76" i="1"/>
  <c r="R76" i="1"/>
  <c r="Q77" i="1"/>
  <c r="R77" i="1"/>
  <c r="Q78" i="1"/>
  <c r="R78" i="1"/>
  <c r="Q79" i="1"/>
  <c r="R79" i="1"/>
  <c r="Q80" i="1"/>
  <c r="R80" i="1"/>
  <c r="Q81" i="1"/>
  <c r="R81" i="1"/>
  <c r="Q82" i="1"/>
  <c r="R82" i="1"/>
  <c r="Q83" i="1"/>
  <c r="R83" i="1"/>
  <c r="Q84" i="1"/>
  <c r="R84" i="1"/>
  <c r="Q85" i="1"/>
  <c r="R85" i="1"/>
  <c r="Q86" i="1"/>
  <c r="R86" i="1"/>
  <c r="Q87" i="1"/>
  <c r="R87" i="1"/>
  <c r="Q88" i="1"/>
  <c r="R88" i="1"/>
  <c r="Q89" i="1"/>
  <c r="R89" i="1"/>
  <c r="Q90" i="1"/>
  <c r="R90" i="1"/>
  <c r="Q91" i="1"/>
  <c r="R91" i="1"/>
  <c r="Q92" i="1"/>
  <c r="R92" i="1"/>
  <c r="Q93" i="1"/>
  <c r="R93" i="1"/>
  <c r="Q94" i="1"/>
  <c r="R94" i="1"/>
  <c r="Q95" i="1"/>
  <c r="R95" i="1"/>
  <c r="Q96" i="1"/>
  <c r="R96" i="1"/>
  <c r="Q97" i="1"/>
  <c r="R97" i="1"/>
  <c r="Q98" i="1"/>
  <c r="R98" i="1"/>
  <c r="Q99" i="1"/>
  <c r="R99" i="1"/>
  <c r="Q100" i="1"/>
  <c r="R100" i="1"/>
  <c r="Q101" i="1"/>
  <c r="R101" i="1"/>
  <c r="Q102" i="1"/>
  <c r="R102" i="1"/>
  <c r="Q103" i="1"/>
  <c r="R103" i="1"/>
  <c r="Q104" i="1"/>
  <c r="R104" i="1"/>
  <c r="Q105" i="1"/>
  <c r="R105" i="1"/>
  <c r="Q106" i="1"/>
  <c r="R106" i="1"/>
  <c r="Q107" i="1"/>
  <c r="R107" i="1"/>
  <c r="Q108" i="1"/>
  <c r="R108" i="1"/>
  <c r="Q109" i="1"/>
  <c r="R109" i="1"/>
  <c r="Q110" i="1"/>
  <c r="R110" i="1"/>
  <c r="Q111" i="1"/>
  <c r="R111" i="1"/>
  <c r="Q112" i="1"/>
  <c r="R112" i="1"/>
  <c r="Q113" i="1"/>
  <c r="R113" i="1"/>
  <c r="Q114" i="1"/>
  <c r="R114" i="1"/>
  <c r="Q115" i="1"/>
  <c r="R115" i="1"/>
  <c r="Q116" i="1"/>
  <c r="R116" i="1"/>
  <c r="Q117" i="1"/>
  <c r="R117" i="1"/>
  <c r="Q118" i="1"/>
  <c r="R118" i="1"/>
  <c r="Q119" i="1"/>
  <c r="R119" i="1"/>
  <c r="Q120" i="1"/>
  <c r="R120" i="1"/>
  <c r="Q121" i="1"/>
  <c r="R121" i="1"/>
  <c r="Q122" i="1"/>
  <c r="R122" i="1"/>
  <c r="Q123" i="1"/>
  <c r="R123" i="1"/>
  <c r="Q124" i="1"/>
  <c r="R124" i="1"/>
  <c r="Q125" i="1"/>
  <c r="R125" i="1"/>
  <c r="Q126" i="1"/>
  <c r="R126" i="1"/>
  <c r="Q127" i="1"/>
  <c r="R127" i="1"/>
  <c r="Q128" i="1"/>
  <c r="R128" i="1"/>
  <c r="Q129" i="1"/>
  <c r="R129" i="1"/>
  <c r="Q130" i="1"/>
  <c r="R130" i="1"/>
  <c r="Q131" i="1"/>
  <c r="R131" i="1"/>
  <c r="Q132" i="1"/>
  <c r="R132" i="1"/>
  <c r="Q133" i="1"/>
  <c r="R133" i="1"/>
  <c r="Q134" i="1"/>
  <c r="R134" i="1"/>
  <c r="Q135" i="1"/>
  <c r="R135" i="1"/>
  <c r="Q136" i="1"/>
  <c r="R136" i="1"/>
  <c r="Q137" i="1"/>
  <c r="R137" i="1"/>
  <c r="Q138" i="1"/>
  <c r="R138" i="1"/>
  <c r="Q139" i="1"/>
  <c r="R139" i="1"/>
  <c r="Q140" i="1"/>
  <c r="R140" i="1"/>
  <c r="Q141" i="1"/>
  <c r="R141" i="1"/>
  <c r="Q142" i="1"/>
  <c r="R142" i="1"/>
  <c r="Q143" i="1"/>
  <c r="R143" i="1"/>
  <c r="Q144" i="1"/>
  <c r="R144" i="1"/>
  <c r="Q145" i="1"/>
  <c r="R145" i="1"/>
  <c r="Q146" i="1"/>
  <c r="R146" i="1"/>
  <c r="Q147" i="1"/>
  <c r="R147" i="1"/>
  <c r="Q148" i="1"/>
  <c r="R148" i="1"/>
  <c r="Q149" i="1"/>
  <c r="R149" i="1"/>
  <c r="Q150" i="1"/>
  <c r="R150" i="1"/>
  <c r="Q151" i="1"/>
  <c r="R151" i="1"/>
  <c r="Q152" i="1"/>
  <c r="R152" i="1"/>
  <c r="Q153" i="1"/>
  <c r="R153" i="1"/>
  <c r="Q154" i="1"/>
  <c r="R154" i="1"/>
  <c r="Q155" i="1"/>
  <c r="R155" i="1"/>
  <c r="Q156" i="1"/>
  <c r="R156" i="1"/>
  <c r="Q157" i="1"/>
  <c r="R157" i="1"/>
  <c r="Q158" i="1"/>
  <c r="R158" i="1"/>
  <c r="Q159" i="1"/>
  <c r="R159" i="1"/>
  <c r="Q160" i="1"/>
  <c r="R160" i="1"/>
  <c r="Q161" i="1"/>
  <c r="R161" i="1"/>
  <c r="Q162" i="1"/>
  <c r="R162" i="1"/>
  <c r="Q163" i="1"/>
  <c r="R163" i="1"/>
  <c r="Q164" i="1"/>
  <c r="R164" i="1"/>
  <c r="Q165" i="1"/>
  <c r="R165" i="1"/>
  <c r="Q166" i="1"/>
  <c r="R166" i="1"/>
  <c r="Q167" i="1"/>
  <c r="R167" i="1"/>
  <c r="Q168" i="1"/>
  <c r="R168" i="1"/>
  <c r="Q169" i="1"/>
  <c r="R169" i="1"/>
  <c r="Q170" i="1"/>
  <c r="R170" i="1"/>
  <c r="Q171" i="1"/>
  <c r="R171" i="1"/>
  <c r="Q172" i="1"/>
  <c r="R172" i="1"/>
  <c r="Q173" i="1"/>
  <c r="R173" i="1"/>
  <c r="Q174" i="1"/>
  <c r="R174" i="1"/>
  <c r="Q175" i="1"/>
  <c r="R175" i="1"/>
  <c r="Q176" i="1"/>
  <c r="R176" i="1"/>
  <c r="Q177" i="1"/>
  <c r="R177" i="1"/>
  <c r="Q178" i="1"/>
  <c r="R178" i="1"/>
  <c r="Q179" i="1"/>
  <c r="R179" i="1"/>
  <c r="Q180" i="1"/>
  <c r="R180" i="1"/>
  <c r="Q181" i="1"/>
  <c r="R181" i="1"/>
  <c r="Q182" i="1"/>
  <c r="R182" i="1"/>
  <c r="Q183" i="1"/>
  <c r="R183" i="1"/>
  <c r="Q184" i="1"/>
  <c r="R184" i="1"/>
  <c r="Q185" i="1"/>
  <c r="R185" i="1"/>
  <c r="Q186" i="1"/>
  <c r="R186" i="1"/>
  <c r="Q187" i="1"/>
  <c r="R187" i="1"/>
  <c r="Q188" i="1"/>
  <c r="R188" i="1"/>
  <c r="Q189" i="1"/>
  <c r="R189" i="1"/>
  <c r="Q190" i="1"/>
  <c r="R190" i="1"/>
  <c r="Q191" i="1"/>
  <c r="R191" i="1"/>
  <c r="Q192" i="1"/>
  <c r="R192" i="1"/>
  <c r="Q193" i="1"/>
  <c r="R193" i="1"/>
  <c r="Q194" i="1"/>
  <c r="R194" i="1"/>
  <c r="Q195" i="1"/>
  <c r="R195" i="1"/>
  <c r="Q196" i="1"/>
  <c r="R196" i="1"/>
  <c r="Q197" i="1"/>
  <c r="R197" i="1"/>
  <c r="Q198" i="1"/>
  <c r="R198" i="1"/>
  <c r="Q199" i="1"/>
  <c r="R199" i="1"/>
  <c r="Q200" i="1"/>
  <c r="R200" i="1"/>
  <c r="Q201" i="1"/>
  <c r="R201" i="1"/>
  <c r="R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Q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P2"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792C50-3665-4B3D-9830-6A5BDDDB4C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1CD7098-D1E6-43A7-8C0C-7C0382040BBA}" name="WorksheetConnection_Sheet1!$A$1:$R$201" type="102" refreshedVersion="8" minRefreshableVersion="5">
    <extLst>
      <ext xmlns:x15="http://schemas.microsoft.com/office/spreadsheetml/2010/11/main" uri="{DE250136-89BD-433C-8126-D09CA5730AF9}">
        <x15:connection id="Range 1" autoDelete="1">
          <x15:rangePr sourceName="_xlcn.WorksheetConnection_Sheet1A1R2011"/>
        </x15:connection>
      </ext>
    </extLst>
  </connection>
  <connection id="3" xr16:uid="{F5046D04-CFC6-4D86-BBB1-7C1F21E03C94}" name="WorksheetConnection_Sheet1!$B:$B" type="102" refreshedVersion="8" minRefreshableVersion="5">
    <extLst>
      <ext xmlns:x15="http://schemas.microsoft.com/office/spreadsheetml/2010/11/main" uri="{DE250136-89BD-433C-8126-D09CA5730AF9}">
        <x15:connection id="Range" autoDelete="1">
          <x15:rangePr sourceName="_xlcn.WorksheetConnection_Sheet1BB1"/>
        </x15:connection>
      </ext>
    </extLst>
  </connection>
  <connection id="4" xr16:uid="{AEA4A5F3-5E89-483D-8442-D27D4F726F05}" name="WorksheetConnection_Sheet1!$G:$G" type="102" refreshedVersion="8" minRefreshableVersion="5">
    <extLst>
      <ext xmlns:x15="http://schemas.microsoft.com/office/spreadsheetml/2010/11/main" uri="{DE250136-89BD-433C-8126-D09CA5730AF9}">
        <x15:connection id="Range 2" autoDelete="1">
          <x15:rangePr sourceName="_xlcn.WorksheetConnection_Sheet1GG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 1].[rating].[All]}"/>
  </metadataStrings>
  <mdxMetadata count="1">
    <mdx n="0" f="s">
      <ms ns="1" c="0"/>
    </mdx>
  </mdxMetadata>
  <valueMetadata count="1">
    <bk>
      <rc t="1" v="0"/>
    </bk>
  </valueMetadata>
</metadata>
</file>

<file path=xl/sharedStrings.xml><?xml version="1.0" encoding="utf-8"?>
<sst xmlns="http://schemas.openxmlformats.org/spreadsheetml/2006/main" count="2144" uniqueCount="949">
  <si>
    <t>review_id</t>
  </si>
  <si>
    <t>customer_id</t>
  </si>
  <si>
    <t>product_id</t>
  </si>
  <si>
    <t>review_date</t>
  </si>
  <si>
    <t>review_title</t>
  </si>
  <si>
    <t>review_text</t>
  </si>
  <si>
    <t>rating</t>
  </si>
  <si>
    <t>verified_purchase</t>
  </si>
  <si>
    <t>sentiment_label</t>
  </si>
  <si>
    <t>sentiment_score</t>
  </si>
  <si>
    <t>customer_gender</t>
  </si>
  <si>
    <t>customer_age</t>
  </si>
  <si>
    <t>customer_location_city</t>
  </si>
  <si>
    <t>customer_location_country</t>
  </si>
  <si>
    <t>R0001</t>
  </si>
  <si>
    <t>PROD201</t>
  </si>
  <si>
    <t>2023-04-22</t>
  </si>
  <si>
    <t>Great Value!</t>
  </si>
  <si>
    <t>Absolutely loved this product. Exceeded my expectations and the quality is fantastic.</t>
  </si>
  <si>
    <t>positive</t>
  </si>
  <si>
    <t>female</t>
  </si>
  <si>
    <t>R0002</t>
  </si>
  <si>
    <t>PROD207</t>
  </si>
  <si>
    <t>2023-05-15</t>
  </si>
  <si>
    <t>Did not work as expected</t>
  </si>
  <si>
    <t>The product malfunctioned after a week. Very disappointed with the purchase.</t>
  </si>
  <si>
    <t>negative</t>
  </si>
  <si>
    <t>male</t>
  </si>
  <si>
    <t>Chicago</t>
  </si>
  <si>
    <t>R0003</t>
  </si>
  <si>
    <t>CUST1003</t>
  </si>
  <si>
    <t>PROD203</t>
  </si>
  <si>
    <t>2023-07-01</t>
  </si>
  <si>
    <t>It’s okay</t>
  </si>
  <si>
    <t>Average quality, nothing special but not too bad either.</t>
  </si>
  <si>
    <t>neutral</t>
  </si>
  <si>
    <t>Toronto</t>
  </si>
  <si>
    <t>R0004</t>
  </si>
  <si>
    <t>PROD210</t>
  </si>
  <si>
    <t>2023-03-12</t>
  </si>
  <si>
    <t>Solid choice</t>
  </si>
  <si>
    <t>Solid performance and good value for money. Will consider buying again.</t>
  </si>
  <si>
    <t>London</t>
  </si>
  <si>
    <t>UK</t>
  </si>
  <si>
    <t>R0005</t>
  </si>
  <si>
    <t>CUST1005</t>
  </si>
  <si>
    <t>PROD202</t>
  </si>
  <si>
    <t>2023-06-10</t>
  </si>
  <si>
    <t>Just what I needed</t>
  </si>
  <si>
    <t>Arrived on time and works exactly as described. Highly recommend.</t>
  </si>
  <si>
    <t>Sydney</t>
  </si>
  <si>
    <t>R0006</t>
  </si>
  <si>
    <t>CUST1006</t>
  </si>
  <si>
    <t>2023-04-30</t>
  </si>
  <si>
    <t>Poor build quality</t>
  </si>
  <si>
    <t>Started falling apart after a few uses. Not worth the price.</t>
  </si>
  <si>
    <t>Berlin</t>
  </si>
  <si>
    <t>R0007</t>
  </si>
  <si>
    <t>PROD204</t>
  </si>
  <si>
    <t>2023-07-20</t>
  </si>
  <si>
    <t>Highly recommend</t>
  </si>
  <si>
    <t>Fantastic purchase! The features exceeded my expectations.</t>
  </si>
  <si>
    <t>Denver</t>
  </si>
  <si>
    <t>R0008</t>
  </si>
  <si>
    <t>PROD205</t>
  </si>
  <si>
    <t>2023-08-11</t>
  </si>
  <si>
    <t>Not as described</t>
  </si>
  <si>
    <t>Product description was misleading. Doesn’t have all the advertised features.</t>
  </si>
  <si>
    <t>Miami</t>
  </si>
  <si>
    <t>R0009</t>
  </si>
  <si>
    <t>CUST1009</t>
  </si>
  <si>
    <t>PROD209</t>
  </si>
  <si>
    <t>2023-05-30</t>
  </si>
  <si>
    <t>Fast shipping</t>
  </si>
  <si>
    <t>Came faster than expected and in perfect condition.</t>
  </si>
  <si>
    <t>Paris</t>
  </si>
  <si>
    <t>R0010</t>
  </si>
  <si>
    <t>CUST1010</t>
  </si>
  <si>
    <t>2023-03-18</t>
  </si>
  <si>
    <t>Functional but basic</t>
  </si>
  <si>
    <t>It does what it’s supposed to but lacks advanced options.</t>
  </si>
  <si>
    <t>Dublin</t>
  </si>
  <si>
    <t>R0011</t>
  </si>
  <si>
    <t>2023-09-02</t>
  </si>
  <si>
    <t>Great for the price</t>
  </si>
  <si>
    <t>Affordable and does the job. Satisfied with the purchase.</t>
  </si>
  <si>
    <t>R0012</t>
  </si>
  <si>
    <t>CUST1011</t>
  </si>
  <si>
    <t>2023-08-21</t>
  </si>
  <si>
    <t>Not happy</t>
  </si>
  <si>
    <t>Not worth the money. Will not buy again.</t>
  </si>
  <si>
    <t>Madrid</t>
  </si>
  <si>
    <t>R0013</t>
  </si>
  <si>
    <t>CUST1012</t>
  </si>
  <si>
    <t>PROD208</t>
  </si>
  <si>
    <t>2023-07-04</t>
  </si>
  <si>
    <t>Works as advertised</t>
  </si>
  <si>
    <t>The product performs exactly as described. No complaints.</t>
  </si>
  <si>
    <t>R0014</t>
  </si>
  <si>
    <t>2023-05-12</t>
  </si>
  <si>
    <t>Seattle</t>
  </si>
  <si>
    <t>R0015</t>
  </si>
  <si>
    <t>2023-06-23</t>
  </si>
  <si>
    <t>Stopped working after two days. Waste of money.</t>
  </si>
  <si>
    <t>Boston</t>
  </si>
  <si>
    <t>R0016</t>
  </si>
  <si>
    <t>2023-07-22</t>
  </si>
  <si>
    <t>Helps a lot with my daily tasks. Would buy again.</t>
  </si>
  <si>
    <t>R0017</t>
  </si>
  <si>
    <t>CUST1016</t>
  </si>
  <si>
    <t>PROD206</t>
  </si>
  <si>
    <t>2023-08-12</t>
  </si>
  <si>
    <t>It’s not the best, but it gets the job done.</t>
  </si>
  <si>
    <t>R0018</t>
  </si>
  <si>
    <t>2023-03-20</t>
  </si>
  <si>
    <t>Los Angeles</t>
  </si>
  <si>
    <t>R0019</t>
  </si>
  <si>
    <t>CUST1018</t>
  </si>
  <si>
    <t>2023-07-29</t>
  </si>
  <si>
    <t>Returned it after a week. Not compatible with my system.</t>
  </si>
  <si>
    <t>Melbourne</t>
  </si>
  <si>
    <t>R0020</t>
  </si>
  <si>
    <t>CUST1019</t>
  </si>
  <si>
    <t>2023-08-01</t>
  </si>
  <si>
    <t>Love it!</t>
  </si>
  <si>
    <t>I use this every day and it never disappoints.</t>
  </si>
  <si>
    <t>Vancouver</t>
  </si>
  <si>
    <t>R0021</t>
  </si>
  <si>
    <t>2023-06-18</t>
  </si>
  <si>
    <t>Did not live up to the hype. Expected more features.</t>
  </si>
  <si>
    <t>New York</t>
  </si>
  <si>
    <t>R0022</t>
  </si>
  <si>
    <t>2023-05-07</t>
  </si>
  <si>
    <t>Quick delivery</t>
  </si>
  <si>
    <t>Arrived before the expected date. Good service.</t>
  </si>
  <si>
    <t>Manchester</t>
  </si>
  <si>
    <t>R0023</t>
  </si>
  <si>
    <t>2023-04-16</t>
  </si>
  <si>
    <t>Initially good but stopped working after a month.</t>
  </si>
  <si>
    <t>R0024</t>
  </si>
  <si>
    <t>CUST1022</t>
  </si>
  <si>
    <t>2023-09-04</t>
  </si>
  <si>
    <t>Impressed by the build and finish. Recommended.</t>
  </si>
  <si>
    <t>Ottawa</t>
  </si>
  <si>
    <t>R0025</t>
  </si>
  <si>
    <t>CUST1023</t>
  </si>
  <si>
    <t>2023-06-28</t>
  </si>
  <si>
    <t>Decent for the price point. Good starter product.</t>
  </si>
  <si>
    <t>R0026</t>
  </si>
  <si>
    <t>2023-05-23</t>
  </si>
  <si>
    <t>Too expensive for what it offers. Disappointed.</t>
  </si>
  <si>
    <t>R0027</t>
  </si>
  <si>
    <t>CUST1024</t>
  </si>
  <si>
    <t>2023-03-25</t>
  </si>
  <si>
    <t>Gifted this to a friend and they loved it. Highly recommend.</t>
  </si>
  <si>
    <t>Zurich</t>
  </si>
  <si>
    <t>R0028</t>
  </si>
  <si>
    <t>2023-08-31</t>
  </si>
  <si>
    <t>Product is okay but there are better alternatives.</t>
  </si>
  <si>
    <t>Portland</t>
  </si>
  <si>
    <t>R0029</t>
  </si>
  <si>
    <t>CUST1026</t>
  </si>
  <si>
    <t>2023-06-05</t>
  </si>
  <si>
    <t>Exceeded expectations. Will purchase again.</t>
  </si>
  <si>
    <t>Brisbane</t>
  </si>
  <si>
    <t>R0030</t>
  </si>
  <si>
    <t>CUST1027</t>
  </si>
  <si>
    <t>2023-07-14</t>
  </si>
  <si>
    <t>Nothing fancy, but it works.</t>
  </si>
  <si>
    <t>R0031</t>
  </si>
  <si>
    <t>Disappointed with the experience. Would not recommend.</t>
  </si>
  <si>
    <t>R0032</t>
  </si>
  <si>
    <t>CUST1028</t>
  </si>
  <si>
    <t>2023-04-19</t>
  </si>
  <si>
    <t>Great customer service</t>
  </si>
  <si>
    <t>Had an issue and support resolved it quickly.</t>
  </si>
  <si>
    <t>R0033</t>
  </si>
  <si>
    <t>CUST1029</t>
  </si>
  <si>
    <t>2023-05-29</t>
  </si>
  <si>
    <t>Very pleased</t>
  </si>
  <si>
    <t>Does everything I need. Would buy again.</t>
  </si>
  <si>
    <t>Brussels</t>
  </si>
  <si>
    <t>R0034</t>
  </si>
  <si>
    <t>2023-06-11</t>
  </si>
  <si>
    <t>Not impressed</t>
  </si>
  <si>
    <t>I expected more based on the reviews.</t>
  </si>
  <si>
    <t>R0035</t>
  </si>
  <si>
    <t>CUST1030</t>
  </si>
  <si>
    <t>2023-07-16</t>
  </si>
  <si>
    <t>Efficient and reliable</t>
  </si>
  <si>
    <t>Very efficient and has never failed me.</t>
  </si>
  <si>
    <t>Amsterdam</t>
  </si>
  <si>
    <t>R0036</t>
  </si>
  <si>
    <t>2023-08-06</t>
  </si>
  <si>
    <t>Cheap materials</t>
  </si>
  <si>
    <t>Feels flimsy and cheaply made.</t>
  </si>
  <si>
    <t>R0037</t>
  </si>
  <si>
    <t>CUST1032</t>
  </si>
  <si>
    <t>2023-05-18</t>
  </si>
  <si>
    <t>Met expectations</t>
  </si>
  <si>
    <t>No surprises, works as described.</t>
  </si>
  <si>
    <t>Rome</t>
  </si>
  <si>
    <t>R0038</t>
  </si>
  <si>
    <t>2023-03-29</t>
  </si>
  <si>
    <t>Could be better</t>
  </si>
  <si>
    <t>Not bad, but there’s room for improvement.</t>
  </si>
  <si>
    <t>Edinburgh</t>
  </si>
  <si>
    <t>R0039</t>
  </si>
  <si>
    <t>2023-06-13</t>
  </si>
  <si>
    <t>Very disappointed</t>
  </si>
  <si>
    <t>Product arrived damaged and the return process was a hassle.</t>
  </si>
  <si>
    <t>R0040</t>
  </si>
  <si>
    <t>2023-04-27</t>
  </si>
  <si>
    <t>Fantastic service</t>
  </si>
  <si>
    <t>San Francisco</t>
  </si>
  <si>
    <t>R0041</t>
  </si>
  <si>
    <t>CUST1035</t>
  </si>
  <si>
    <t>2023-07-11</t>
  </si>
  <si>
    <t>Decent, but slow shipping</t>
  </si>
  <si>
    <t>Product is good but took too long to arrive.</t>
  </si>
  <si>
    <t>R0042</t>
  </si>
  <si>
    <t>2023-05-21</t>
  </si>
  <si>
    <t>Not for me</t>
  </si>
  <si>
    <t>Didn’t like the design. Returned it.</t>
  </si>
  <si>
    <t>R0043</t>
  </si>
  <si>
    <t>CUST1036</t>
  </si>
  <si>
    <t>2023-09-01</t>
  </si>
  <si>
    <t>Love the features</t>
  </si>
  <si>
    <t>Innovative and easy to use. My favorite so far.</t>
  </si>
  <si>
    <t>Stockholm</t>
  </si>
  <si>
    <t>R0044</t>
  </si>
  <si>
    <t>2023-06-01</t>
  </si>
  <si>
    <t>Just okay</t>
  </si>
  <si>
    <t>Average product, not very impressed.</t>
  </si>
  <si>
    <t>San Jose</t>
  </si>
  <si>
    <t>R0045</t>
  </si>
  <si>
    <t>CUST1038</t>
  </si>
  <si>
    <t>2023-08-15</t>
  </si>
  <si>
    <t>Great for beginners</t>
  </si>
  <si>
    <t>If you’re just starting out, this is a great choice.</t>
  </si>
  <si>
    <t>R0046</t>
  </si>
  <si>
    <t>CUST1039</t>
  </si>
  <si>
    <t>2023-03-21</t>
  </si>
  <si>
    <t>Wouldn’t buy again</t>
  </si>
  <si>
    <t>Quality was not what I expected for the price.</t>
  </si>
  <si>
    <t>R0047</t>
  </si>
  <si>
    <t>2023-07-23</t>
  </si>
  <si>
    <t>Exceeded expectations</t>
  </si>
  <si>
    <t>Much better than anticipated! Will recommend to friends.</t>
  </si>
  <si>
    <t>San Diego</t>
  </si>
  <si>
    <t>R0048</t>
  </si>
  <si>
    <t>2023-08-19</t>
  </si>
  <si>
    <t>Not satisfied</t>
  </si>
  <si>
    <t>R0049</t>
  </si>
  <si>
    <t>CUST1042</t>
  </si>
  <si>
    <t>2023-05-17</t>
  </si>
  <si>
    <t>Works well</t>
  </si>
  <si>
    <t>No issues so far. Would purchase again.</t>
  </si>
  <si>
    <t>Calgary</t>
  </si>
  <si>
    <t>R0050</t>
  </si>
  <si>
    <t>2023-06-20</t>
  </si>
  <si>
    <t>Good for the price</t>
  </si>
  <si>
    <t>Affordable and functional, met my needs.</t>
  </si>
  <si>
    <t>A8K5T</t>
  </si>
  <si>
    <t>PRD0923</t>
  </si>
  <si>
    <t>2023-03-17</t>
  </si>
  <si>
    <t>Exceeded my expectations</t>
  </si>
  <si>
    <t>I was skeptical at first, but this product really impressed me. The quality is top-notch and it works exactly as described.</t>
  </si>
  <si>
    <t>B2U9P</t>
  </si>
  <si>
    <t>CUST018</t>
  </si>
  <si>
    <t>PRD0940</t>
  </si>
  <si>
    <t>Not as advertised</t>
  </si>
  <si>
    <t>The product did not match the description. Disappointed by the misleading information.</t>
  </si>
  <si>
    <t>Marseille</t>
  </si>
  <si>
    <t>France</t>
  </si>
  <si>
    <t>Q1Y3R</t>
  </si>
  <si>
    <t>PRD0937</t>
  </si>
  <si>
    <t>2023-03-19</t>
  </si>
  <si>
    <t>Does the job</t>
  </si>
  <si>
    <t>It works as intended, nothing more and nothing less. Satisfied with the purchase.</t>
  </si>
  <si>
    <t>Dallas</t>
  </si>
  <si>
    <t>USA</t>
  </si>
  <si>
    <t>W4F0N</t>
  </si>
  <si>
    <t>CUST045</t>
  </si>
  <si>
    <t>PRD0915</t>
  </si>
  <si>
    <t>Poor packaging</t>
  </si>
  <si>
    <t>Packaging was damaged when it arrived. The product was fine but the presentation was lacking.</t>
  </si>
  <si>
    <t>M9D8Z</t>
  </si>
  <si>
    <t>CUST056</t>
  </si>
  <si>
    <t>PRD0922</t>
  </si>
  <si>
    <t>2023-03-22</t>
  </si>
  <si>
    <t>Fast shipping and great service</t>
  </si>
  <si>
    <t>Delivery was much quicker than expected. Customer service was responsive and helpful.</t>
  </si>
  <si>
    <t>Australia</t>
  </si>
  <si>
    <t>E3T2Q</t>
  </si>
  <si>
    <t>PRD0934</t>
  </si>
  <si>
    <t>Would not recommend</t>
  </si>
  <si>
    <t>Stopped working after a week. Not worth the money.</t>
  </si>
  <si>
    <t>Dresden</t>
  </si>
  <si>
    <t>Germany</t>
  </si>
  <si>
    <t>G7H1J</t>
  </si>
  <si>
    <t>2023-03-23</t>
  </si>
  <si>
    <t>Solid choice for the price</t>
  </si>
  <si>
    <t>Affordable yet works as well as some more expensive options. Happy with the value for money.</t>
  </si>
  <si>
    <t>K6M2L</t>
  </si>
  <si>
    <t>CUST044</t>
  </si>
  <si>
    <t>2023-03-24</t>
  </si>
  <si>
    <t>Great for daily use</t>
  </si>
  <si>
    <t>I use this every day and it hasn't let me down. Would definitely buy again.</t>
  </si>
  <si>
    <t>Canada</t>
  </si>
  <si>
    <t>L8C7S</t>
  </si>
  <si>
    <t>CUST029</t>
  </si>
  <si>
    <t>Doesn’t work as expected</t>
  </si>
  <si>
    <t>Had high hopes for this but it did not perform as advertised.</t>
  </si>
  <si>
    <t>Naples</t>
  </si>
  <si>
    <t>Italy</t>
  </si>
  <si>
    <t>T1V6X</t>
  </si>
  <si>
    <t>CUST050</t>
  </si>
  <si>
    <t>PRD0936</t>
  </si>
  <si>
    <t>2023-03-26</t>
  </si>
  <si>
    <t>Good, but could be better</t>
  </si>
  <si>
    <t>The product is generally good, but I wish it had more features.</t>
  </si>
  <si>
    <t>V5W3B</t>
  </si>
  <si>
    <t>CUST062</t>
  </si>
  <si>
    <t>PRD0941</t>
  </si>
  <si>
    <t>Superb!</t>
  </si>
  <si>
    <t>Absolutely love it! Will recommend to my friends and family.</t>
  </si>
  <si>
    <t>Cork</t>
  </si>
  <si>
    <t>Ireland</t>
  </si>
  <si>
    <t>H0Y8G</t>
  </si>
  <si>
    <t>CUST064</t>
  </si>
  <si>
    <t>2023-03-27</t>
  </si>
  <si>
    <t>Disappointed</t>
  </si>
  <si>
    <t>Quality is not as expected. Would not order again.</t>
  </si>
  <si>
    <t>Newcastle</t>
  </si>
  <si>
    <t>J2Q5D</t>
  </si>
  <si>
    <t>Arrived late</t>
  </si>
  <si>
    <t>Product arrived several days after the expected delivery date.</t>
  </si>
  <si>
    <t>R7E3U</t>
  </si>
  <si>
    <t>CUST057</t>
  </si>
  <si>
    <t>PRD0935</t>
  </si>
  <si>
    <t>2023-03-28</t>
  </si>
  <si>
    <t>Would buy again</t>
  </si>
  <si>
    <t>Happy with the quality. Would definitely buy again in the future.</t>
  </si>
  <si>
    <t>Oslo</t>
  </si>
  <si>
    <t>Norway</t>
  </si>
  <si>
    <t>S6P1Z</t>
  </si>
  <si>
    <t>CUST079</t>
  </si>
  <si>
    <t>It functions as described. Not much more to say.</t>
  </si>
  <si>
    <t>N2R0V</t>
  </si>
  <si>
    <t>2023-03-30</t>
  </si>
  <si>
    <t>Well-made product</t>
  </si>
  <si>
    <t>The build quality is impressive and it feels durable.</t>
  </si>
  <si>
    <t>Z9L7J</t>
  </si>
  <si>
    <t>2023-04-01</t>
  </si>
  <si>
    <t>Not worth the price</t>
  </si>
  <si>
    <t>Felt overpriced for the features offered.</t>
  </si>
  <si>
    <t>F4A2K</t>
  </si>
  <si>
    <t>CUST065</t>
  </si>
  <si>
    <t>It's okay, but I expected more for the money.</t>
  </si>
  <si>
    <t>Belgium</t>
  </si>
  <si>
    <t>P3Q8B</t>
  </si>
  <si>
    <t>CUST071</t>
  </si>
  <si>
    <t>2023-04-02</t>
  </si>
  <si>
    <t>Excellent value</t>
  </si>
  <si>
    <t>Great value for the price! Will purchase again.</t>
  </si>
  <si>
    <t>Auckland</t>
  </si>
  <si>
    <t>New Zealand</t>
  </si>
  <si>
    <t>U7S2M</t>
  </si>
  <si>
    <t>Average experience</t>
  </si>
  <si>
    <t>The product works but didn't wow me.</t>
  </si>
  <si>
    <t>Y2G8V</t>
  </si>
  <si>
    <t>2023-04-03</t>
  </si>
  <si>
    <t>Was expecting better performance. Disappointed.</t>
  </si>
  <si>
    <t>D6W1X</t>
  </si>
  <si>
    <t>Reliable and easy to use</t>
  </si>
  <si>
    <t>No issues so far. Simple and reliable product.</t>
  </si>
  <si>
    <t>B8H9S</t>
  </si>
  <si>
    <t>CUST075</t>
  </si>
  <si>
    <t>2023-04-04</t>
  </si>
  <si>
    <t>Not what I needed</t>
  </si>
  <si>
    <t>Didn't fit my needs. The return process was smooth though.</t>
  </si>
  <si>
    <t>Munich</t>
  </si>
  <si>
    <t>F2K6P</t>
  </si>
  <si>
    <t>CUST048</t>
  </si>
  <si>
    <t>2023-04-05</t>
  </si>
  <si>
    <t>High quality</t>
  </si>
  <si>
    <t>Very impressed with the quality and design.</t>
  </si>
  <si>
    <t>Lisbon</t>
  </si>
  <si>
    <t>Portugal</t>
  </si>
  <si>
    <t>K9J8B</t>
  </si>
  <si>
    <t>Could be improved</t>
  </si>
  <si>
    <t>Some features are missing. Otherwise, it's okay.</t>
  </si>
  <si>
    <t>T4L0Q</t>
  </si>
  <si>
    <t>2023-04-06</t>
  </si>
  <si>
    <t>Arrived early and in good condition</t>
  </si>
  <si>
    <t>Happy to receive the package ahead of schedule.</t>
  </si>
  <si>
    <t>Q5D2F</t>
  </si>
  <si>
    <t>So-so product</t>
  </si>
  <si>
    <t>Neither great nor terrible. Might look for alternatives next time.</t>
  </si>
  <si>
    <t>L0G9M</t>
  </si>
  <si>
    <t>2023-04-07</t>
  </si>
  <si>
    <t>Product was defective</t>
  </si>
  <si>
    <t>Stopped working after a few days. Returned for a refund.</t>
  </si>
  <si>
    <t>V8C6N</t>
  </si>
  <si>
    <t>2023-04-08</t>
  </si>
  <si>
    <t>Sturdy and reliable</t>
  </si>
  <si>
    <t>Feels very sturdy and reliable. Would recommend.</t>
  </si>
  <si>
    <t>R2F7K</t>
  </si>
  <si>
    <t>Very basic</t>
  </si>
  <si>
    <t>Quite a basic product. Might be suitable for some but I wanted more features.</t>
  </si>
  <si>
    <t>D8M5C</t>
  </si>
  <si>
    <t>2023-04-09</t>
  </si>
  <si>
    <t>This is just what I needed! Thank you for the fast shipping.</t>
  </si>
  <si>
    <t>S1X5Z</t>
  </si>
  <si>
    <t>The product was okay, but shipping was slow.</t>
  </si>
  <si>
    <t>R8T4J</t>
  </si>
  <si>
    <t>2023-04-10</t>
  </si>
  <si>
    <t>Good experience overall</t>
  </si>
  <si>
    <t>No problems with the purchase. Everything went smoothly.</t>
  </si>
  <si>
    <t>Q6P3C</t>
  </si>
  <si>
    <t>Unfortunately, the product did not match the description.</t>
  </si>
  <si>
    <t>J0S4V</t>
  </si>
  <si>
    <t>2023-04-11</t>
  </si>
  <si>
    <t>Works as expected</t>
  </si>
  <si>
    <t>Does what it's supposed to do. No complaints.</t>
  </si>
  <si>
    <t>H3A2B</t>
  </si>
  <si>
    <t>Great support team</t>
  </si>
  <si>
    <t>Y6N1D</t>
  </si>
  <si>
    <t>2023-04-12</t>
  </si>
  <si>
    <t>Packaging was damaged</t>
  </si>
  <si>
    <t>Product is fine, but the packaging was quite damaged.</t>
  </si>
  <si>
    <t>L2K9W</t>
  </si>
  <si>
    <t>2023-04-13</t>
  </si>
  <si>
    <t>This product broke after only a few uses.</t>
  </si>
  <si>
    <t>A2M4Q</t>
  </si>
  <si>
    <t>Meh</t>
  </si>
  <si>
    <t>Didn't love it, didn't hate it. It's just okay.</t>
  </si>
  <si>
    <t>F7R1P</t>
  </si>
  <si>
    <t>2023-04-14</t>
  </si>
  <si>
    <t>Excellent performance</t>
  </si>
  <si>
    <t>Works perfectly and exceeded my expectations.</t>
  </si>
  <si>
    <t>K7S2Z</t>
  </si>
  <si>
    <t>2023-04-15</t>
  </si>
  <si>
    <t>Good purchase</t>
  </si>
  <si>
    <t>I'm happy with my purchase and would recommend it.</t>
  </si>
  <si>
    <t>P5D3G</t>
  </si>
  <si>
    <t>Does what it says</t>
  </si>
  <si>
    <t>Product works as expected. No complaints here.</t>
  </si>
  <si>
    <t>Y4M7D</t>
  </si>
  <si>
    <t>Broken on arrival</t>
  </si>
  <si>
    <t>Unfortunately, the item was broken when I opened the box.</t>
  </si>
  <si>
    <t>M3J6T</t>
  </si>
  <si>
    <t>Met my expectations</t>
  </si>
  <si>
    <t>Product met my expectations. Would recommend.</t>
  </si>
  <si>
    <t>D5Q8V</t>
  </si>
  <si>
    <t>2023-04-17</t>
  </si>
  <si>
    <t>Nothing special, but it works.</t>
  </si>
  <si>
    <t>E9N6B</t>
  </si>
  <si>
    <t>Very pleased with the product and the transaction.</t>
  </si>
  <si>
    <t>Q7W2L</t>
  </si>
  <si>
    <t>2023-04-18</t>
  </si>
  <si>
    <t>Disappointing</t>
  </si>
  <si>
    <t>Expected better performance for the price.</t>
  </si>
  <si>
    <t>S3K9A</t>
  </si>
  <si>
    <t>Good value for money</t>
  </si>
  <si>
    <t>Happy with my purchase at this price point.</t>
  </si>
  <si>
    <t>A9R0F</t>
  </si>
  <si>
    <t>No complaints. Product works just fine.</t>
  </si>
  <si>
    <t>B6X7Q</t>
  </si>
  <si>
    <t>Not great</t>
  </si>
  <si>
    <t>Didn't meet my expectations. Wouldn't buy again.</t>
  </si>
  <si>
    <t>J5V4C</t>
  </si>
  <si>
    <t>2023-04-20</t>
  </si>
  <si>
    <t>Received the product earlier than expected.</t>
  </si>
  <si>
    <t>W0B6N</t>
  </si>
  <si>
    <t>Meets expectations</t>
  </si>
  <si>
    <t>No issues, product meets my expectations.</t>
  </si>
  <si>
    <t>A2301</t>
  </si>
  <si>
    <t>CUST104</t>
  </si>
  <si>
    <t>PROD032</t>
  </si>
  <si>
    <t>It met my expectations and works well. Setup was straightforward and the product feels sturdy.</t>
  </si>
  <si>
    <t>A2302</t>
  </si>
  <si>
    <t>CUST109</t>
  </si>
  <si>
    <t>PROD028</t>
  </si>
  <si>
    <t>Underwhelming features</t>
  </si>
  <si>
    <t>A2303</t>
  </si>
  <si>
    <t>CUST125</t>
  </si>
  <si>
    <t>PROD031</t>
  </si>
  <si>
    <t>Decent, but not amazing</t>
  </si>
  <si>
    <t>The product functions as described, but I was hoping for more advanced options.</t>
  </si>
  <si>
    <t>A2304</t>
  </si>
  <si>
    <t>CUST113</t>
  </si>
  <si>
    <t>PROD027</t>
  </si>
  <si>
    <t>Perfect for the price</t>
  </si>
  <si>
    <t>Great price, solid performance. The shipping was quick, and the item arrived in perfect condition.</t>
  </si>
  <si>
    <t>A2305</t>
  </si>
  <si>
    <t>CUST118</t>
  </si>
  <si>
    <t>PROD035</t>
  </si>
  <si>
    <t>Usable, but could be better</t>
  </si>
  <si>
    <t>It works, but there are some design flaws that make it difficult to use daily.</t>
  </si>
  <si>
    <t>A2306</t>
  </si>
  <si>
    <t>CUST132</t>
  </si>
  <si>
    <t>Arrived damaged</t>
  </si>
  <si>
    <t>Unfortunately, the product was damaged when it arrived. Waiting for a replacement.</t>
  </si>
  <si>
    <t>A2307</t>
  </si>
  <si>
    <t>CUST120</t>
  </si>
  <si>
    <t>PROD026</t>
  </si>
  <si>
    <t>It's alright. Not too impressive, but not terrible either.</t>
  </si>
  <si>
    <t>A2308</t>
  </si>
  <si>
    <t>CUST111</t>
  </si>
  <si>
    <t>PROD034</t>
  </si>
  <si>
    <t>Excellent purchase</t>
  </si>
  <si>
    <t>Absolutely love this product! Would definitely recommend to friends and family.</t>
  </si>
  <si>
    <t>Brooklyn</t>
  </si>
  <si>
    <t>A2309</t>
  </si>
  <si>
    <t>CUST134</t>
  </si>
  <si>
    <t>PROD033</t>
  </si>
  <si>
    <t>Mediocre quality</t>
  </si>
  <si>
    <t>Expected better build quality for the price. Hoping it lasts more than a year.</t>
  </si>
  <si>
    <t>A2310</t>
  </si>
  <si>
    <t>CUST138</t>
  </si>
  <si>
    <t>PROD029</t>
  </si>
  <si>
    <t>Good but noisy</t>
  </si>
  <si>
    <t>Does the job, but it's louder than I expected. Not great for quiet environments.</t>
  </si>
  <si>
    <t>A2311</t>
  </si>
  <si>
    <t>CUST115</t>
  </si>
  <si>
    <t>Best purchase of 2023!</t>
  </si>
  <si>
    <t>Exceeded my expectations. Will buy from this brand again.</t>
  </si>
  <si>
    <t>A2312</t>
  </si>
  <si>
    <t>CUST126</t>
  </si>
  <si>
    <t>PROD036</t>
  </si>
  <si>
    <t>Average product</t>
  </si>
  <si>
    <t>Nothing particularly special. Does what it claims.</t>
  </si>
  <si>
    <t>A2313</t>
  </si>
  <si>
    <t>CUST121</t>
  </si>
  <si>
    <t>Quick delivery, great item</t>
  </si>
  <si>
    <t>Arrived sooner than expected and works flawlessly.</t>
  </si>
  <si>
    <t>A2314</t>
  </si>
  <si>
    <t>CUST128</t>
  </si>
  <si>
    <t>Decent for the price. Not luxury but good enough for everyday use.</t>
  </si>
  <si>
    <t>A2315</t>
  </si>
  <si>
    <t>CUST135</t>
  </si>
  <si>
    <t>Did not meet my expectations. The product had multiple issues and customer service did not help.</t>
  </si>
  <si>
    <t>Spain</t>
  </si>
  <si>
    <t>A2316</t>
  </si>
  <si>
    <t>CUST110</t>
  </si>
  <si>
    <t>No complaints. It performs as expected and I am satisfied.</t>
  </si>
  <si>
    <t>A2317</t>
  </si>
  <si>
    <t>CUST107</t>
  </si>
  <si>
    <t>So-so experience</t>
  </si>
  <si>
    <t>It works, but I expected a bit more for the price. Might consider alternatives next time.</t>
  </si>
  <si>
    <t>Atlanta</t>
  </si>
  <si>
    <t>A2318</t>
  </si>
  <si>
    <t>CUST119</t>
  </si>
  <si>
    <t>PROD037</t>
  </si>
  <si>
    <t>Exactly what I needed</t>
  </si>
  <si>
    <t>The product fits perfectly and works exactly as described.</t>
  </si>
  <si>
    <t>A2319</t>
  </si>
  <si>
    <t>CUST116</t>
  </si>
  <si>
    <t>Not worth the money</t>
  </si>
  <si>
    <t>Regret buying this item. Quality control seems lacking.</t>
  </si>
  <si>
    <t>Prague</t>
  </si>
  <si>
    <t>Czechia</t>
  </si>
  <si>
    <t>A2320</t>
  </si>
  <si>
    <t>CUST137</t>
  </si>
  <si>
    <t>PROD030</t>
  </si>
  <si>
    <t>Good product overall. Would recommend to others.</t>
  </si>
  <si>
    <t>A2321</t>
  </si>
  <si>
    <t>CUST124</t>
  </si>
  <si>
    <t>Works as advertised, nothing more, nothing less.</t>
  </si>
  <si>
    <t>A2322</t>
  </si>
  <si>
    <t>CUST105</t>
  </si>
  <si>
    <t>This is my second purchase from this brand. Happy with the product and service.</t>
  </si>
  <si>
    <t>A2323</t>
  </si>
  <si>
    <t>CUST130</t>
  </si>
  <si>
    <t>Disappointed in the build quality and customer support.</t>
  </si>
  <si>
    <t>A2324</t>
  </si>
  <si>
    <t>CUST117</t>
  </si>
  <si>
    <t>Exactly what I wanted. Great product and fast shipping.</t>
  </si>
  <si>
    <t>A2325</t>
  </si>
  <si>
    <t>CUST123</t>
  </si>
  <si>
    <t>Works fine so far. No complaints.</t>
  </si>
  <si>
    <t>Switzerland</t>
  </si>
  <si>
    <t>A2326</t>
  </si>
  <si>
    <t>CUST122</t>
  </si>
  <si>
    <t>Not the worst, but not the best either.</t>
  </si>
  <si>
    <t>A2327</t>
  </si>
  <si>
    <t>CUST133</t>
  </si>
  <si>
    <t>I didn't like the product. Returned it immediately.</t>
  </si>
  <si>
    <t>A2328</t>
  </si>
  <si>
    <t>CUST108</t>
  </si>
  <si>
    <t>2023-04-21</t>
  </si>
  <si>
    <t>Works as described and feels durable.</t>
  </si>
  <si>
    <t>A2329</t>
  </si>
  <si>
    <t>CUST129</t>
  </si>
  <si>
    <t>Too simple for my needs. Would not repurchase.</t>
  </si>
  <si>
    <t>Vienna</t>
  </si>
  <si>
    <t>A2330</t>
  </si>
  <si>
    <t>CUST136</t>
  </si>
  <si>
    <t>The product is good but shipping took longer than expected.</t>
  </si>
  <si>
    <t>Sweden</t>
  </si>
  <si>
    <t>A2331</t>
  </si>
  <si>
    <t>CUST131</t>
  </si>
  <si>
    <t>Had an issue and it was resolved quickly. Happy with my purchase.</t>
  </si>
  <si>
    <t>A2332</t>
  </si>
  <si>
    <t>CUST127</t>
  </si>
  <si>
    <t>Average experience. Item works but nothing stands out.</t>
  </si>
  <si>
    <t>A2333</t>
  </si>
  <si>
    <t>CUST114</t>
  </si>
  <si>
    <t>2023-04-23</t>
  </si>
  <si>
    <t>Product did not match the online description. Disappointing.</t>
  </si>
  <si>
    <t>Lyon</t>
  </si>
  <si>
    <t>A2334</t>
  </si>
  <si>
    <t>CUST106</t>
  </si>
  <si>
    <t>A2335</t>
  </si>
  <si>
    <t>2023-04-24</t>
  </si>
  <si>
    <t>Simple and effective. Good for minimal use.</t>
  </si>
  <si>
    <t>A2336</t>
  </si>
  <si>
    <t>PROD038</t>
  </si>
  <si>
    <t>Nothing special. Wouldn't buy again but okay overall.</t>
  </si>
  <si>
    <t>A2337</t>
  </si>
  <si>
    <t>2023-04-25</t>
  </si>
  <si>
    <t>Price was right and it works well. Satisfied.</t>
  </si>
  <si>
    <t>A2338</t>
  </si>
  <si>
    <t>No frills, but it works. Would buy again.</t>
  </si>
  <si>
    <t>A2339</t>
  </si>
  <si>
    <t>2023-04-26</t>
  </si>
  <si>
    <t>Has potential but needs better instructions.</t>
  </si>
  <si>
    <t>Netherlands</t>
  </si>
  <si>
    <t>A2340</t>
  </si>
  <si>
    <t>Had to return the product. Not what I was looking for.</t>
  </si>
  <si>
    <t>Warsaw</t>
  </si>
  <si>
    <t>Poland</t>
  </si>
  <si>
    <t>A2341</t>
  </si>
  <si>
    <t>Very user-friendly and straightforward.</t>
  </si>
  <si>
    <t>Montreal</t>
  </si>
  <si>
    <t>A2342</t>
  </si>
  <si>
    <t>Product broke after only a week of use.</t>
  </si>
  <si>
    <t>A2343</t>
  </si>
  <si>
    <t>2023-04-28</t>
  </si>
  <si>
    <t>I've been using it for months with no issues.</t>
  </si>
  <si>
    <t>A2344</t>
  </si>
  <si>
    <t>A2345</t>
  </si>
  <si>
    <t>CUST112</t>
  </si>
  <si>
    <t>2023-04-29</t>
  </si>
  <si>
    <t>It works, but I wish it had more features.</t>
  </si>
  <si>
    <t>Copenhagen</t>
  </si>
  <si>
    <t>Denmark</t>
  </si>
  <si>
    <t>A2346</t>
  </si>
  <si>
    <t>Affordable and does exactly what I need.</t>
  </si>
  <si>
    <t>Rotterdam</t>
  </si>
  <si>
    <t>A2347</t>
  </si>
  <si>
    <t>CUST101</t>
  </si>
  <si>
    <t>Very basic, but works</t>
  </si>
  <si>
    <t>If you need something simple, this will do.</t>
  </si>
  <si>
    <t>A2348</t>
  </si>
  <si>
    <t>Regret this purchase</t>
  </si>
  <si>
    <t>Product did not meet the description. Would not recommend.</t>
  </si>
  <si>
    <t>A2349</t>
  </si>
  <si>
    <t>Exactly as shown</t>
  </si>
  <si>
    <t>Product was exactly as described and functions well.</t>
  </si>
  <si>
    <t>Osaka</t>
  </si>
  <si>
    <t>Japan</t>
  </si>
  <si>
    <t>A2350</t>
  </si>
  <si>
    <t>Functional but overpriced.</t>
  </si>
  <si>
    <t>A1B2C</t>
  </si>
  <si>
    <t>PROD001</t>
  </si>
  <si>
    <t>2024-06-06</t>
  </si>
  <si>
    <t>I was skeptical at first, but this exceeded my expectations. Highly recommended for anyone on the fence.</t>
  </si>
  <si>
    <t>D3F4E</t>
  </si>
  <si>
    <t>PROD002</t>
  </si>
  <si>
    <t>2024-06-01</t>
  </si>
  <si>
    <t>The product did not match the description and I was disappointed. Will not purchase again.</t>
  </si>
  <si>
    <t>F5G6H</t>
  </si>
  <si>
    <t>PROD003</t>
  </si>
  <si>
    <t>2024-05-29</t>
  </si>
  <si>
    <t>For the price, this is an excellent product. Works as expected and I would buy it again.</t>
  </si>
  <si>
    <t>I7J8K</t>
  </si>
  <si>
    <t>PROD004</t>
  </si>
  <si>
    <t>2024-05-15</t>
  </si>
  <si>
    <t>It functions as advertised but nothing stands out. Average experience.</t>
  </si>
  <si>
    <t>L9M0N</t>
  </si>
  <si>
    <t>2024-06-04</t>
  </si>
  <si>
    <t>O1P2Q</t>
  </si>
  <si>
    <t>PROD005</t>
  </si>
  <si>
    <t>2024-05-16</t>
  </si>
  <si>
    <t>No complaints so far. Good quality and works as it should.</t>
  </si>
  <si>
    <t>R3S4T</t>
  </si>
  <si>
    <t>PROD006</t>
  </si>
  <si>
    <t>2024-06-07</t>
  </si>
  <si>
    <t>Product was fine but shipping took too long.</t>
  </si>
  <si>
    <t>U5V6W</t>
  </si>
  <si>
    <t>PROD007</t>
  </si>
  <si>
    <t>2024-05-18</t>
  </si>
  <si>
    <t>Very happy with this purchase. Would buy again and recommend to friends.</t>
  </si>
  <si>
    <t>X7Y8Z</t>
  </si>
  <si>
    <t>Acceptable quality for the price, but could be better in terms of durability.</t>
  </si>
  <si>
    <t>Z9A1B</t>
  </si>
  <si>
    <t>PROD008</t>
  </si>
  <si>
    <t>2024-04-28</t>
  </si>
  <si>
    <t>Arrived broken</t>
  </si>
  <si>
    <t>Arrived broken. Replacement process was a hassle.</t>
  </si>
  <si>
    <t>C2D3E</t>
  </si>
  <si>
    <t>2024-06-03</t>
  </si>
  <si>
    <t>Excellent quality</t>
  </si>
  <si>
    <t>The quality is excellent and the material is durable. I am satisfied.</t>
  </si>
  <si>
    <t>F4G5H</t>
  </si>
  <si>
    <t>PROD009</t>
  </si>
  <si>
    <t>2024-05-25</t>
  </si>
  <si>
    <t>So far so good</t>
  </si>
  <si>
    <t>I have only used it for a week but it seems to work as expected.</t>
  </si>
  <si>
    <t>I6J7K</t>
  </si>
  <si>
    <t>2024-05-20</t>
  </si>
  <si>
    <t>Mediocre performance</t>
  </si>
  <si>
    <t>L8M9N</t>
  </si>
  <si>
    <t>2024-05-30</t>
  </si>
  <si>
    <t>Pleasantly surprised</t>
  </si>
  <si>
    <t>Was not expecting much but it works great. Would recommend.</t>
  </si>
  <si>
    <t>O0P1Q</t>
  </si>
  <si>
    <t>2024-04-30</t>
  </si>
  <si>
    <t>Disappointing experience overall. Not worth the price.</t>
  </si>
  <si>
    <t>R2S3T</t>
  </si>
  <si>
    <t>2024-06-05</t>
  </si>
  <si>
    <t>Absolutely love this! Will definitely order more in the future.</t>
  </si>
  <si>
    <t>Phoenix</t>
  </si>
  <si>
    <t>U4V5W</t>
  </si>
  <si>
    <t>2024-06-08</t>
  </si>
  <si>
    <t>It's fine</t>
  </si>
  <si>
    <t>Nothing special, but it gets the job done.</t>
  </si>
  <si>
    <t>X6Y7Z</t>
  </si>
  <si>
    <t>2024-05-11</t>
  </si>
  <si>
    <t>Product did not meet my expectations. Would not recommend.</t>
  </si>
  <si>
    <t>Z8A9B</t>
  </si>
  <si>
    <t>2024-06-02</t>
  </si>
  <si>
    <t>Arrived quickly and works as expected.</t>
  </si>
  <si>
    <t>C1D2E</t>
  </si>
  <si>
    <t>2024-05-13</t>
  </si>
  <si>
    <t>Solid quality for the price I paid.</t>
  </si>
  <si>
    <t>F3G4H</t>
  </si>
  <si>
    <t>2024-05-17</t>
  </si>
  <si>
    <t>Does the job, but there are better alternatives available.</t>
  </si>
  <si>
    <t>I5J6K</t>
  </si>
  <si>
    <t>Disappointed, broke within a week.</t>
  </si>
  <si>
    <t>L7M8N</t>
  </si>
  <si>
    <t>No issues so far, does what it should.</t>
  </si>
  <si>
    <t>O9P0Q</t>
  </si>
  <si>
    <t>2024-04-29</t>
  </si>
  <si>
    <t>Disappointed by the quality. Not worth the money.</t>
  </si>
  <si>
    <t>R1S2T</t>
  </si>
  <si>
    <t>Happy with the purchase, will buy again.</t>
  </si>
  <si>
    <t>U3V4W</t>
  </si>
  <si>
    <t>2024-05-10</t>
  </si>
  <si>
    <t>It works, but not as well as I'd hoped.</t>
  </si>
  <si>
    <t>X5Y6Z</t>
  </si>
  <si>
    <t>Fantastic product. Would highly recommend to others.</t>
  </si>
  <si>
    <t>Z7A8B</t>
  </si>
  <si>
    <t>Worked well for my needs.</t>
  </si>
  <si>
    <t>C0D1E</t>
  </si>
  <si>
    <t>2024-05-31</t>
  </si>
  <si>
    <t>Did not meet expectations. Expected more from this brand.</t>
  </si>
  <si>
    <t>F2G3H</t>
  </si>
  <si>
    <t>2024-05-24</t>
  </si>
  <si>
    <t>It is fine for light use.</t>
  </si>
  <si>
    <t>I4J5K</t>
  </si>
  <si>
    <t>Extremely satisfied with the performance so far.</t>
  </si>
  <si>
    <t>L6M7N</t>
  </si>
  <si>
    <t>2024-05-19</t>
  </si>
  <si>
    <t>It's okay, but nothing special.</t>
  </si>
  <si>
    <t>O8P9Q</t>
  </si>
  <si>
    <t>Fits perfectly and works great.</t>
  </si>
  <si>
    <t>R0S1T</t>
  </si>
  <si>
    <t>2024-05-21</t>
  </si>
  <si>
    <t>Low quality, would not buy again.</t>
  </si>
  <si>
    <t>U2V3W</t>
  </si>
  <si>
    <t>2024-05-27</t>
  </si>
  <si>
    <t>Was surprised by the quality given the price. Would recommend.</t>
  </si>
  <si>
    <t>X4Y5Z</t>
  </si>
  <si>
    <t>Does what it says it will do.</t>
  </si>
  <si>
    <t>Z6A7B</t>
  </si>
  <si>
    <t>2024-05-22</t>
  </si>
  <si>
    <t>Not happy with the purchase.</t>
  </si>
  <si>
    <t>C9D0E</t>
  </si>
  <si>
    <t>Arrived earlier than expected, works well.</t>
  </si>
  <si>
    <t>F1G2H</t>
  </si>
  <si>
    <t>2024-05-12</t>
  </si>
  <si>
    <t>Neither good nor bad. Just average.</t>
  </si>
  <si>
    <t>I3J4K</t>
  </si>
  <si>
    <t>CUST139</t>
  </si>
  <si>
    <t>2024-05-26</t>
  </si>
  <si>
    <t>Really not impressed. Would not recommend.</t>
  </si>
  <si>
    <t>L5M6N</t>
  </si>
  <si>
    <t>Great item, would recommend.</t>
  </si>
  <si>
    <t>O7P8Q</t>
  </si>
  <si>
    <t>CUST141</t>
  </si>
  <si>
    <t>2024-05-14</t>
  </si>
  <si>
    <t>Does the job for the price.</t>
  </si>
  <si>
    <t>R9S0T</t>
  </si>
  <si>
    <t>CUST142</t>
  </si>
  <si>
    <t>Did not work as promised. Waste of money.</t>
  </si>
  <si>
    <t>U1V2W</t>
  </si>
  <si>
    <t>CUST143</t>
  </si>
  <si>
    <t>Not bad, gets the job done.</t>
  </si>
  <si>
    <t>2023-10-11</t>
  </si>
  <si>
    <t>The product is reliable and easy to carry around. It fits my needs perfectly and the build quality is excellent.</t>
  </si>
  <si>
    <t>Boulder</t>
  </si>
  <si>
    <t>CUST204</t>
  </si>
  <si>
    <t>2024-02-25</t>
  </si>
  <si>
    <t>Disappointing Experience</t>
  </si>
  <si>
    <t>Unfortunately, the product did not meet my expectations. The material felt cheap and it stopped working after a week.</t>
  </si>
  <si>
    <t>Hamilton</t>
  </si>
  <si>
    <t>PROD015</t>
  </si>
  <si>
    <t>2024-01-18</t>
  </si>
  <si>
    <t>It's an average product. Does the job but nothing stands out. Delivery was fast, though.</t>
  </si>
  <si>
    <t>2023-12-06</t>
  </si>
  <si>
    <t>I bought this as a gift and the recipient was very happy. Would purchase again!</t>
  </si>
  <si>
    <t>Brighton</t>
  </si>
  <si>
    <t xml:space="preserve"> Good starter product.</t>
  </si>
  <si>
    <t xml:space="preserve"> Not much more to say.</t>
  </si>
  <si>
    <t>but shipping was slow.</t>
  </si>
  <si>
    <t>special, but it works.</t>
  </si>
  <si>
    <t>ough for everyday use.</t>
  </si>
  <si>
    <t>ng more, nothing less.</t>
  </si>
  <si>
    <t>t not the best either.</t>
  </si>
  <si>
    <t>ut nothing stands out.</t>
  </si>
  <si>
    <t>gain but okay overall.</t>
  </si>
  <si>
    <t>tional but overpriced.</t>
  </si>
  <si>
    <t>and works as expected.</t>
  </si>
  <si>
    <t>lternatives available.</t>
  </si>
  <si>
    <t xml:space="preserve"> as well as I'd hoped.</t>
  </si>
  <si>
    <t>is fine for light use.</t>
  </si>
  <si>
    <t>at it says it will do.</t>
  </si>
  <si>
    <t>the job for the price.</t>
  </si>
  <si>
    <t xml:space="preserve"> Would purchase again!</t>
  </si>
  <si>
    <t xml:space="preserve"> Good starter product</t>
  </si>
  <si>
    <t>service was helpful</t>
  </si>
  <si>
    <t xml:space="preserve"> Not much more to say</t>
  </si>
  <si>
    <t>shipping was slow</t>
  </si>
  <si>
    <t>Nothing ecial, but it works</t>
  </si>
  <si>
    <t>good enough for everyday use</t>
  </si>
  <si>
    <t>not the best either</t>
  </si>
  <si>
    <t>Nothing special</t>
  </si>
  <si>
    <t>Functional but overpriced</t>
  </si>
  <si>
    <t>works as expected</t>
  </si>
  <si>
    <t>Not as well as I'd hoped</t>
  </si>
  <si>
    <t>it is fine for light use</t>
  </si>
  <si>
    <t>dose what it says it will do</t>
  </si>
  <si>
    <t>dose the job for the price</t>
  </si>
  <si>
    <t>unknown</t>
  </si>
  <si>
    <t>t not the Belgiumst either.</t>
  </si>
  <si>
    <t>Product functions as descriBelgiumd, no surprises.</t>
  </si>
  <si>
    <t>Canadalgary</t>
  </si>
  <si>
    <t>CUSAT1001</t>
  </si>
  <si>
    <t>CUSAT1002</t>
  </si>
  <si>
    <t>CUSAT1004</t>
  </si>
  <si>
    <t>CUSAT1007</t>
  </si>
  <si>
    <t>CUSAT1008</t>
  </si>
  <si>
    <t>CUSAT1013</t>
  </si>
  <si>
    <t>Had a few issues but cUSAtomer service was helpful.</t>
  </si>
  <si>
    <t>CUSAT1014</t>
  </si>
  <si>
    <t>CUSAT1015</t>
  </si>
  <si>
    <t>CUSAT1017</t>
  </si>
  <si>
    <t>USAer-friendly and simple to set up.</t>
  </si>
  <si>
    <t>CUSAT1020</t>
  </si>
  <si>
    <t>CUSAT1021</t>
  </si>
  <si>
    <t>CUSAT1025</t>
  </si>
  <si>
    <t>is fine for light USAe.</t>
  </si>
  <si>
    <t>CUSAT1031</t>
  </si>
  <si>
    <t>CUSAT1033</t>
  </si>
  <si>
    <t>CUSAT1034</t>
  </si>
  <si>
    <t>CUSAtomer support was amazing and the product works well.</t>
  </si>
  <si>
    <t>CUSAT1037</t>
  </si>
  <si>
    <t>JUSAt okay</t>
  </si>
  <si>
    <t>CUSAT1040</t>
  </si>
  <si>
    <t>CUSAT1041</t>
  </si>
  <si>
    <t>Did not meet expectations and cUSAtomer service was unhelpful.</t>
  </si>
  <si>
    <t>CUSAT032</t>
  </si>
  <si>
    <t>CUSAT020</t>
  </si>
  <si>
    <t>CUSAT038</t>
  </si>
  <si>
    <t>CUSAtomer support resolved my issue quickly.</t>
  </si>
  <si>
    <t>CUSAT104</t>
  </si>
  <si>
    <t>CUSAT109</t>
  </si>
  <si>
    <t>Not as good as expected, missing some features I needed. CUSAtomer support was not very helpful.</t>
  </si>
  <si>
    <t>CUSAT125</t>
  </si>
  <si>
    <t>CUSAT120</t>
  </si>
  <si>
    <t>CUSAT111</t>
  </si>
  <si>
    <t>CUSAT138</t>
  </si>
  <si>
    <t>CUSAT110</t>
  </si>
  <si>
    <t>CUSAT107</t>
  </si>
  <si>
    <t>CUSAT119</t>
  </si>
  <si>
    <t>CUSAT108</t>
  </si>
  <si>
    <t>CUSAT106</t>
  </si>
  <si>
    <t>Have USAed it for months without any issues.</t>
  </si>
  <si>
    <t>CUSAT102</t>
  </si>
  <si>
    <t>CUSAT101</t>
  </si>
  <si>
    <t>CUSAT103</t>
  </si>
  <si>
    <t>CUSAT105</t>
  </si>
  <si>
    <t>Stopped working after two days. CUSAtomer support was not helpful.</t>
  </si>
  <si>
    <t>CUSAT112</t>
  </si>
  <si>
    <t>This product is mediocre at best. Would not recommend for heavy USAe.</t>
  </si>
  <si>
    <t>CUSAT113</t>
  </si>
  <si>
    <t>CUSAT115</t>
  </si>
  <si>
    <t>CUSAT121</t>
  </si>
  <si>
    <t>CUSAT122</t>
  </si>
  <si>
    <t>CUSAT126</t>
  </si>
  <si>
    <t>CUSAT127</t>
  </si>
  <si>
    <t>CUSAT135</t>
  </si>
  <si>
    <t>CUSAT136</t>
  </si>
  <si>
    <t>CUSAT137</t>
  </si>
  <si>
    <t>CUSAT140</t>
  </si>
  <si>
    <t>CUSAT315</t>
  </si>
  <si>
    <t>CUSAT172</t>
  </si>
  <si>
    <t>age_range</t>
  </si>
  <si>
    <t>sentiment_score_range</t>
  </si>
  <si>
    <t>review_date_month</t>
  </si>
  <si>
    <t>review_date_year</t>
  </si>
  <si>
    <t>Row Labels</t>
  </si>
  <si>
    <t>Grand Total</t>
  </si>
  <si>
    <t>Count of review_id</t>
  </si>
  <si>
    <t>Distinct Count of customer_id</t>
  </si>
  <si>
    <t>Distinct Count of product_id</t>
  </si>
  <si>
    <t>FALSE</t>
  </si>
  <si>
    <t>TRUE</t>
  </si>
  <si>
    <t>34–45</t>
  </si>
  <si>
    <t>&gt;0.25</t>
  </si>
  <si>
    <t>2024</t>
  </si>
  <si>
    <t>2023</t>
  </si>
  <si>
    <t>46–55</t>
  </si>
  <si>
    <t>17–25</t>
  </si>
  <si>
    <t>26–33</t>
  </si>
  <si>
    <t>56-66</t>
  </si>
  <si>
    <t>0.25&gt;0.5</t>
  </si>
  <si>
    <t>0.5&gt;0.75</t>
  </si>
  <si>
    <t>0.75&gt;1</t>
  </si>
  <si>
    <t>Housaton</t>
  </si>
  <si>
    <t>Ausatin</t>
  </si>
  <si>
    <t>Column Labels</t>
  </si>
  <si>
    <t>May</t>
  </si>
  <si>
    <t>Apr</t>
  </si>
  <si>
    <t>Aug</t>
  </si>
  <si>
    <t>Jun</t>
  </si>
  <si>
    <t>Jul</t>
  </si>
  <si>
    <t>Mar</t>
  </si>
  <si>
    <t>Feb</t>
  </si>
  <si>
    <t>Dec</t>
  </si>
  <si>
    <t>Jan</t>
  </si>
  <si>
    <t>Oct</t>
  </si>
  <si>
    <t>Sep</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</si>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</sst>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horizontal="center"/>
    </xf>
    <xf numFmtId="0" fontId="0" fillId="33" borderId="0" xfId="0" applyFill="1" applyAlignment="1">
      <alignment horizontal="center" wrapText="1"/>
    </xf>
    <xf numFmtId="0" fontId="13" fillId="34" borderId="0" xfId="0" applyFont="1" applyFill="1" applyAlignment="1">
      <alignment horizontal="center"/>
    </xf>
    <xf numFmtId="0" fontId="13" fillId="34"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A68C8"/>
      <color rgb="FF1F4658"/>
      <color rgb="FF123456"/>
      <color rgb="FF0E5F76"/>
      <color rgb="FFEEF2F7"/>
      <color rgb="FFFCFCFC"/>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[customer-product-review-dashboard.xlsx]Pivot Tables!PivotTable15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Reviews Per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Tables'!$A$5:$A$10</c:f>
              <c:strCache>
                <c:ptCount val="5"/>
                <c:pt idx="0">
                  <c:v>1</c:v>
                </c:pt>
                <c:pt idx="1">
                  <c:v>2</c:v>
                </c:pt>
                <c:pt idx="2">
                  <c:v>3</c:v>
                </c:pt>
                <c:pt idx="3">
                  <c:v>4</c:v>
                </c:pt>
                <c:pt idx="4">
                  <c:v>5</c:v>
                </c:pt>
              </c:strCache>
            </c:strRef>
          </c:cat>
          <c:val>
            <c:numRef>
              <c:f>'Pivot Tables'!$B$5:$B$10</c:f>
              <c:numCache>
                <c:formatCode>General</c:formatCode>
                <c:ptCount val="5"/>
                <c:pt idx="0">
                  <c:v>24</c:v>
                </c:pt>
                <c:pt idx="1">
                  <c:v>34</c:v>
                </c:pt>
                <c:pt idx="2">
                  <c:v>42</c:v>
                </c:pt>
                <c:pt idx="3">
                  <c:v>52</c:v>
                </c:pt>
                <c:pt idx="4">
                  <c:v>48</c:v>
                </c:pt>
              </c:numCache>
            </c:numRef>
          </c:val>
          <c:extLst>
            <c:ext xmlns:c16="http://schemas.microsoft.com/office/drawing/2014/chart" uri="{C3380CC4-5D6E-409C-BE32-E72D297353CC}">
              <c16:uniqueId val="{00000001-2E0D-4FE9-B66D-0FEDF9B550A5}"/>
            </c:ext>
          </c:extLst>
        </c:ser>
        <c:dLbls>
          <c:dLblPos val="outEnd"/>
          <c:showLegendKey val="0"/>
          <c:showVal val="1"/>
          <c:showCatName val="0"/>
          <c:showSerName val="0"/>
          <c:showPercent val="0"/>
          <c:showBubbleSize val="0"/>
        </c:dLbls>
        <c:gapWidth val="219"/>
        <c:overlap val="-27"/>
        <c:axId val="1173572431"/>
        <c:axId val="1173573391"/>
      </c:barChart>
      <c:catAx>
        <c:axId val="117357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3573391"/>
        <c:crosses val="autoZero"/>
        <c:auto val="1"/>
        <c:lblAlgn val="ctr"/>
        <c:lblOffset val="100"/>
        <c:noMultiLvlLbl val="0"/>
      </c:catAx>
      <c:valAx>
        <c:axId val="1173573391"/>
        <c:scaling>
          <c:orientation val="minMax"/>
        </c:scaling>
        <c:delete val="1"/>
        <c:axPos val="l"/>
        <c:numFmt formatCode="General" sourceLinked="1"/>
        <c:majorTickMark val="none"/>
        <c:minorTickMark val="none"/>
        <c:tickLblPos val="nextTo"/>
        <c:crossAx val="117357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4658"/>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[customer-product-review-dashboard.xlsx]Pivot Tables!PivotTable16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Reviews</a:t>
            </a:r>
            <a:r>
              <a:rPr lang="en-US" b="1" baseline="0"/>
              <a:t> Per Verified_Purchase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Tables'!$D$4</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Tables'!$C$5:$C$7</c:f>
              <c:strCache>
                <c:ptCount val="2"/>
                <c:pt idx="0">
                  <c:v>FALSE</c:v>
                </c:pt>
                <c:pt idx="1">
                  <c:v>TRUE</c:v>
                </c:pt>
              </c:strCache>
            </c:strRef>
          </c:cat>
          <c:val>
            <c:numRef>
              <c:f>'Pivot Tables'!$D$5:$D$7</c:f>
              <c:numCache>
                <c:formatCode>General</c:formatCode>
                <c:ptCount val="2"/>
                <c:pt idx="0">
                  <c:v>78</c:v>
                </c:pt>
                <c:pt idx="1">
                  <c:v>122</c:v>
                </c:pt>
              </c:numCache>
            </c:numRef>
          </c:val>
          <c:extLst>
            <c:ext xmlns:c16="http://schemas.microsoft.com/office/drawing/2014/chart" uri="{C3380CC4-5D6E-409C-BE32-E72D297353CC}">
              <c16:uniqueId val="{00000001-C371-4761-98BF-EE00FF9F241E}"/>
            </c:ext>
          </c:extLst>
        </c:ser>
        <c:dLbls>
          <c:dLblPos val="outEnd"/>
          <c:showLegendKey val="0"/>
          <c:showVal val="1"/>
          <c:showCatName val="0"/>
          <c:showSerName val="0"/>
          <c:showPercent val="0"/>
          <c:showBubbleSize val="0"/>
        </c:dLbls>
        <c:gapWidth val="219"/>
        <c:overlap val="-27"/>
        <c:axId val="1173574351"/>
        <c:axId val="1173570991"/>
      </c:barChart>
      <c:catAx>
        <c:axId val="1173574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3570991"/>
        <c:crosses val="autoZero"/>
        <c:auto val="1"/>
        <c:lblAlgn val="ctr"/>
        <c:lblOffset val="100"/>
        <c:noMultiLvlLbl val="0"/>
      </c:catAx>
      <c:valAx>
        <c:axId val="1173570991"/>
        <c:scaling>
          <c:orientation val="minMax"/>
        </c:scaling>
        <c:delete val="1"/>
        <c:axPos val="l"/>
        <c:numFmt formatCode="General" sourceLinked="1"/>
        <c:majorTickMark val="none"/>
        <c:minorTickMark val="none"/>
        <c:tickLblPos val="nextTo"/>
        <c:crossAx val="117357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4658"/>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[customer-product-review-dashboard.xlsx]Pivot Tables!PivotTable17</c:name>
    <c:fmtId val="3"/>
  </c:pivotSource>
  <c:chart>
    <c:title>
      <c:tx>
        <c:rich>
          <a:bodyPr rot="0" spcFirstLastPara="1" vertOverflow="ellipsis" vert="horz" wrap="square" anchor="ctr" anchorCtr="1"/>
          <a:lstStyle/>
          <a:p>
            <a:pPr>
              <a:defRPr sz="1400" b="1" i="0" u="none" strike="noStrike" kern="1200" spc="0" baseline="0">
                <a:ln>
                  <a:noFill/>
                </a:ln>
                <a:solidFill>
                  <a:schemeClr val="bg1"/>
                </a:solidFill>
                <a:latin typeface="+mn-lt"/>
                <a:ea typeface="+mn-ea"/>
                <a:cs typeface="+mn-cs"/>
              </a:defRPr>
            </a:pPr>
            <a:r>
              <a:rPr lang="en-US" b="1"/>
              <a:t>Reviews Per Sentiment_label</a:t>
            </a:r>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9268547544409613E-2"/>
              <c:y val="-0.10718113612004292"/>
            </c:manualLayout>
          </c:layout>
          <c:spPr>
            <a:noFill/>
            <a:ln>
              <a:noFill/>
            </a:ln>
            <a:effectLst/>
          </c:spPr>
          <c:txPr>
            <a:bodyPr rot="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629049111807732"/>
              <c:y val="3.2154340836012957E-2"/>
            </c:manualLayout>
          </c:layout>
          <c:spPr>
            <a:noFill/>
            <a:ln>
              <a:noFill/>
            </a:ln>
            <a:effectLst/>
          </c:spPr>
          <c:txPr>
            <a:bodyPr rot="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19050">
            <a:solidFill>
              <a:schemeClr val="lt1"/>
            </a:solidFill>
          </a:ln>
          <a:effectLst/>
        </c:spPr>
        <c:dLbl>
          <c:idx val="0"/>
          <c:layout>
            <c:manualLayout>
              <c:x val="-0.12539184952978055"/>
              <c:y val="-6.4308681672025719E-2"/>
            </c:manualLayout>
          </c:layout>
          <c:spPr>
            <a:noFill/>
            <a:ln>
              <a:noFill/>
            </a:ln>
            <a:effectLst/>
          </c:spPr>
          <c:txPr>
            <a:bodyPr rot="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Tables'!$F$4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rgbClr val="00B050"/>
              </a:solidFill>
              <a:ln w="19050">
                <a:solidFill>
                  <a:schemeClr val="lt1"/>
                </a:solidFill>
              </a:ln>
              <a:effectLst/>
            </c:spPr>
          </c:dPt>
          <c:dLbls>
            <c:dLbl>
              <c:idx val="0"/>
              <c:layout>
                <c:manualLayout>
                  <c:x val="9.9268547544409613E-2"/>
                  <c:y val="-0.1071811361200429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4629049111807732"/>
                  <c:y val="3.2154340836012957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2539184952978055"/>
                  <c:y val="-6.4308681672025719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Tables'!$E$5:$E$8</c:f>
              <c:strCache>
                <c:ptCount val="3"/>
                <c:pt idx="0">
                  <c:v>negative</c:v>
                </c:pt>
                <c:pt idx="1">
                  <c:v>neutral</c:v>
                </c:pt>
                <c:pt idx="2">
                  <c:v>positive</c:v>
                </c:pt>
              </c:strCache>
            </c:strRef>
          </c:cat>
          <c:val>
            <c:numRef>
              <c:f>'Pivot Tables'!$F$5:$F$8</c:f>
              <c:numCache>
                <c:formatCode>General</c:formatCode>
                <c:ptCount val="3"/>
                <c:pt idx="0">
                  <c:v>58</c:v>
                </c:pt>
                <c:pt idx="1">
                  <c:v>46</c:v>
                </c:pt>
                <c:pt idx="2">
                  <c:v>96</c:v>
                </c:pt>
              </c:numCache>
            </c:numRef>
          </c:val>
          <c:extLst>
            <c:ext xmlns:c16="http://schemas.microsoft.com/office/drawing/2014/chart" uri="{C3380CC4-5D6E-409C-BE32-E72D297353CC}">
              <c16:uniqueId val="{00000007-AB8D-4EA8-ABBB-9BA65683168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4658"/>
    </a:solidFill>
    <a:ln w="9525" cap="flat" cmpd="sng" algn="ctr">
      <a:solidFill>
        <a:schemeClr val="accent1">
          <a:alpha val="94000"/>
        </a:schemeClr>
      </a:solid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[customer-product-review-dashboard.xlsx]Pivot Tables!PivotTable19</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Reviews Per Age_Range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w="19050">
            <a:solidFill>
              <a:schemeClr val="lt1"/>
            </a:solidFill>
          </a:ln>
          <a:effectLst/>
        </c:spPr>
        <c:dLbl>
          <c:idx val="0"/>
          <c:layout>
            <c:manualLayout>
              <c:x val="0.11314186248912089"/>
              <c:y val="-9.2290988056460424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2680591818973026E-2"/>
              <c:y val="0.14115092290988057"/>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19050">
            <a:solidFill>
              <a:schemeClr val="lt1"/>
            </a:solidFill>
          </a:ln>
          <a:effectLst/>
        </c:spPr>
        <c:dLbl>
          <c:idx val="0"/>
          <c:layout>
            <c:manualLayout>
              <c:x val="-9.5735422106179288E-2"/>
              <c:y val="7.0575461454940189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443864229765012"/>
              <c:y val="-7.0575461454940286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4.7867711053089644E-2"/>
              <c:y val="-0.1194353963083605"/>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Tables'!$K$4</c:f>
              <c:strCache>
                <c:ptCount val="1"/>
                <c:pt idx="0">
                  <c:v>Total</c:v>
                </c:pt>
              </c:strCache>
            </c:strRef>
          </c:tx>
          <c:dPt>
            <c:idx val="0"/>
            <c:bubble3D val="0"/>
            <c:spPr>
              <a:solidFill>
                <a:srgbClr val="002060"/>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rgbClr val="00B050"/>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dLbl>
              <c:idx val="0"/>
              <c:layout>
                <c:manualLayout>
                  <c:x val="0.11314186248912089"/>
                  <c:y val="-9.2290988056460424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8.2680591818973026E-2"/>
                  <c:y val="0.14115092290988057"/>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9.5735422106179288E-2"/>
                  <c:y val="7.0575461454940189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0.10443864229765012"/>
                  <c:y val="-7.0575461454940286E-2"/>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4.7867711053089644E-2"/>
                  <c:y val="-0.1194353963083605"/>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Tables'!$J$5:$J$10</c:f>
              <c:strCache>
                <c:ptCount val="5"/>
                <c:pt idx="0">
                  <c:v>17–25</c:v>
                </c:pt>
                <c:pt idx="1">
                  <c:v>26–33</c:v>
                </c:pt>
                <c:pt idx="2">
                  <c:v>34–45</c:v>
                </c:pt>
                <c:pt idx="3">
                  <c:v>46–55</c:v>
                </c:pt>
                <c:pt idx="4">
                  <c:v>56-66</c:v>
                </c:pt>
              </c:strCache>
            </c:strRef>
          </c:cat>
          <c:val>
            <c:numRef>
              <c:f>'Pivot Tables'!$K$5:$K$10</c:f>
              <c:numCache>
                <c:formatCode>General</c:formatCode>
                <c:ptCount val="5"/>
                <c:pt idx="0">
                  <c:v>28</c:v>
                </c:pt>
                <c:pt idx="1">
                  <c:v>63</c:v>
                </c:pt>
                <c:pt idx="2">
                  <c:v>65</c:v>
                </c:pt>
                <c:pt idx="3">
                  <c:v>29</c:v>
                </c:pt>
                <c:pt idx="4">
                  <c:v>15</c:v>
                </c:pt>
              </c:numCache>
            </c:numRef>
          </c:val>
          <c:extLst>
            <c:ext xmlns:c16="http://schemas.microsoft.com/office/drawing/2014/chart" uri="{C3380CC4-5D6E-409C-BE32-E72D297353CC}">
              <c16:uniqueId val="{0000000B-1BD3-43AB-A3B5-291FC4EF628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4658"/>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[customer-product-review-dashboard.xlsx]Pivot Tables!PivotTable20</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Review</a:t>
            </a:r>
            <a:r>
              <a:rPr lang="en-US" b="1" baseline="0"/>
              <a:t>s Per Sentiment_Score_Range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7.1994240460763206E-2"/>
              <c:y val="-0.19553072625698323"/>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3196544276457881E-2"/>
              <c:y val="0.10242085661080075"/>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19050">
            <a:solidFill>
              <a:schemeClr val="lt1"/>
            </a:solidFill>
          </a:ln>
          <a:effectLst/>
        </c:spPr>
        <c:dLbl>
          <c:idx val="0"/>
          <c:layout>
            <c:manualLayout>
              <c:x val="-0.10079193664506841"/>
              <c:y val="6.0521415270018621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1598272138228958E-2"/>
              <c:y val="-0.14432029795158291"/>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Tables'!$E$12</c:f>
              <c:strCache>
                <c:ptCount val="1"/>
                <c:pt idx="0">
                  <c:v>Total</c:v>
                </c:pt>
              </c:strCache>
            </c:strRef>
          </c:tx>
          <c:dPt>
            <c:idx val="0"/>
            <c:bubble3D val="0"/>
            <c:spPr>
              <a:solidFill>
                <a:srgbClr val="00B050"/>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rgbClr val="002060"/>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7.1994240460763206E-2"/>
                  <c:y val="-0.19553072625698323"/>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4.3196544276457881E-2"/>
                  <c:y val="0.10242085661080075"/>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0079193664506841"/>
                  <c:y val="6.0521415270018621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2.1598272138228958E-2"/>
                  <c:y val="-0.14432029795158291"/>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Tables'!$D$13:$D$17</c:f>
              <c:strCache>
                <c:ptCount val="4"/>
                <c:pt idx="0">
                  <c:v>&gt;0.25</c:v>
                </c:pt>
                <c:pt idx="1">
                  <c:v>0.25&gt;0.5</c:v>
                </c:pt>
                <c:pt idx="2">
                  <c:v>0.5&gt;0.75</c:v>
                </c:pt>
                <c:pt idx="3">
                  <c:v>0.75&gt;1</c:v>
                </c:pt>
              </c:strCache>
            </c:strRef>
          </c:cat>
          <c:val>
            <c:numRef>
              <c:f>'Pivot Tables'!$E$13:$E$17</c:f>
              <c:numCache>
                <c:formatCode>General</c:formatCode>
                <c:ptCount val="4"/>
                <c:pt idx="0">
                  <c:v>101</c:v>
                </c:pt>
                <c:pt idx="1">
                  <c:v>9</c:v>
                </c:pt>
                <c:pt idx="2">
                  <c:v>35</c:v>
                </c:pt>
                <c:pt idx="3">
                  <c:v>55</c:v>
                </c:pt>
              </c:numCache>
            </c:numRef>
          </c:val>
          <c:extLst>
            <c:ext xmlns:c16="http://schemas.microsoft.com/office/drawing/2014/chart" uri="{C3380CC4-5D6E-409C-BE32-E72D297353CC}">
              <c16:uniqueId val="{00000009-4124-4FBD-B465-9FC5C7E3F60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4658"/>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[customer-product-review-dashboard.xlsx]Pivot Tables!PivotTable24</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Reviews Per Years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Tables'!$J$12:$J$13</c:f>
              <c:strCache>
                <c:ptCount val="1"/>
                <c:pt idx="0">
                  <c:v>2023</c:v>
                </c:pt>
              </c:strCache>
            </c:strRef>
          </c:tx>
          <c:spPr>
            <a:ln w="28575" cap="rnd">
              <a:solidFill>
                <a:schemeClr val="accent3">
                  <a:lumMod val="60000"/>
                  <a:lumOff val="40000"/>
                </a:schemeClr>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Tables'!$I$14:$I$19</c:f>
              <c:strCache>
                <c:ptCount val="5"/>
                <c:pt idx="0">
                  <c:v>1</c:v>
                </c:pt>
                <c:pt idx="1">
                  <c:v>2</c:v>
                </c:pt>
                <c:pt idx="2">
                  <c:v>3</c:v>
                </c:pt>
                <c:pt idx="3">
                  <c:v>4</c:v>
                </c:pt>
                <c:pt idx="4">
                  <c:v>5</c:v>
                </c:pt>
              </c:strCache>
            </c:strRef>
          </c:cat>
          <c:val>
            <c:numRef>
              <c:f>'Pivot Tables'!$J$14:$J$19</c:f>
              <c:numCache>
                <c:formatCode>General</c:formatCode>
                <c:ptCount val="5"/>
                <c:pt idx="0">
                  <c:v>18</c:v>
                </c:pt>
                <c:pt idx="1">
                  <c:v>26</c:v>
                </c:pt>
                <c:pt idx="2">
                  <c:v>31</c:v>
                </c:pt>
                <c:pt idx="3">
                  <c:v>41</c:v>
                </c:pt>
                <c:pt idx="4">
                  <c:v>38</c:v>
                </c:pt>
              </c:numCache>
            </c:numRef>
          </c:val>
          <c:smooth val="0"/>
          <c:extLst>
            <c:ext xmlns:c16="http://schemas.microsoft.com/office/drawing/2014/chart" uri="{C3380CC4-5D6E-409C-BE32-E72D297353CC}">
              <c16:uniqueId val="{00000009-E5E5-4204-86F1-73F933E56075}"/>
            </c:ext>
          </c:extLst>
        </c:ser>
        <c:ser>
          <c:idx val="1"/>
          <c:order val="1"/>
          <c:tx>
            <c:strRef>
              <c:f>'Pivot Tables'!$K$12:$K$13</c:f>
              <c:strCache>
                <c:ptCount val="1"/>
                <c:pt idx="0">
                  <c:v>2024</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Tables'!$I$14:$I$19</c:f>
              <c:strCache>
                <c:ptCount val="5"/>
                <c:pt idx="0">
                  <c:v>1</c:v>
                </c:pt>
                <c:pt idx="1">
                  <c:v>2</c:v>
                </c:pt>
                <c:pt idx="2">
                  <c:v>3</c:v>
                </c:pt>
                <c:pt idx="3">
                  <c:v>4</c:v>
                </c:pt>
                <c:pt idx="4">
                  <c:v>5</c:v>
                </c:pt>
              </c:strCache>
            </c:strRef>
          </c:cat>
          <c:val>
            <c:numRef>
              <c:f>'Pivot Tables'!$K$14:$K$19</c:f>
              <c:numCache>
                <c:formatCode>General</c:formatCode>
                <c:ptCount val="5"/>
                <c:pt idx="0">
                  <c:v>6</c:v>
                </c:pt>
                <c:pt idx="1">
                  <c:v>8</c:v>
                </c:pt>
                <c:pt idx="2">
                  <c:v>11</c:v>
                </c:pt>
                <c:pt idx="3">
                  <c:v>11</c:v>
                </c:pt>
                <c:pt idx="4">
                  <c:v>10</c:v>
                </c:pt>
              </c:numCache>
            </c:numRef>
          </c:val>
          <c:smooth val="0"/>
          <c:extLst>
            <c:ext xmlns:c16="http://schemas.microsoft.com/office/drawing/2014/chart" uri="{C3380CC4-5D6E-409C-BE32-E72D297353CC}">
              <c16:uniqueId val="{0000000D-E5E5-4204-86F1-73F933E56075}"/>
            </c:ext>
          </c:extLst>
        </c:ser>
        <c:dLbls>
          <c:dLblPos val="t"/>
          <c:showLegendKey val="0"/>
          <c:showVal val="1"/>
          <c:showCatName val="0"/>
          <c:showSerName val="0"/>
          <c:showPercent val="0"/>
          <c:showBubbleSize val="0"/>
        </c:dLbls>
        <c:smooth val="0"/>
        <c:axId val="1173602671"/>
        <c:axId val="1173613711"/>
      </c:lineChart>
      <c:catAx>
        <c:axId val="117360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3613711"/>
        <c:crosses val="autoZero"/>
        <c:auto val="1"/>
        <c:lblAlgn val="ctr"/>
        <c:lblOffset val="100"/>
        <c:noMultiLvlLbl val="0"/>
      </c:catAx>
      <c:valAx>
        <c:axId val="1173613711"/>
        <c:scaling>
          <c:orientation val="minMax"/>
        </c:scaling>
        <c:delete val="1"/>
        <c:axPos val="l"/>
        <c:numFmt formatCode="General" sourceLinked="1"/>
        <c:majorTickMark val="none"/>
        <c:minorTickMark val="none"/>
        <c:tickLblPos val="nextTo"/>
        <c:crossAx val="1173602671"/>
        <c:crosses val="autoZero"/>
        <c:crossBetween val="between"/>
      </c:valAx>
      <c:spPr>
        <a:solidFill>
          <a:srgbClr val="1F4658"/>
        </a:soli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4658"/>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[customer-product-review-dashboard.xlsx]Pivot Tables!PivotTable29</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Reviews Per Product_Id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55477275866838"/>
          <c:y val="0.20529010238907852"/>
          <c:w val="0.75167413283865836"/>
          <c:h val="0.72645051194539245"/>
        </c:manualLayout>
      </c:layout>
      <c:barChart>
        <c:barDir val="bar"/>
        <c:grouping val="clustered"/>
        <c:varyColors val="0"/>
        <c:ser>
          <c:idx val="0"/>
          <c:order val="0"/>
          <c:tx>
            <c:strRef>
              <c:f>'Pivot Tables'!$J$22</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Tables'!$I$23:$I$28</c:f>
              <c:strCache>
                <c:ptCount val="5"/>
                <c:pt idx="0">
                  <c:v>PRD0935</c:v>
                </c:pt>
                <c:pt idx="1">
                  <c:v>PRD0936</c:v>
                </c:pt>
                <c:pt idx="2">
                  <c:v>PRD0941</c:v>
                </c:pt>
                <c:pt idx="3">
                  <c:v>PRD0934</c:v>
                </c:pt>
                <c:pt idx="4">
                  <c:v>PRD0915</c:v>
                </c:pt>
              </c:strCache>
            </c:strRef>
          </c:cat>
          <c:val>
            <c:numRef>
              <c:f>'Pivot Tables'!$J$23:$J$28</c:f>
              <c:numCache>
                <c:formatCode>General</c:formatCode>
                <c:ptCount val="5"/>
                <c:pt idx="0">
                  <c:v>8</c:v>
                </c:pt>
                <c:pt idx="1">
                  <c:v>7</c:v>
                </c:pt>
                <c:pt idx="2">
                  <c:v>6</c:v>
                </c:pt>
                <c:pt idx="3">
                  <c:v>6</c:v>
                </c:pt>
                <c:pt idx="4">
                  <c:v>6</c:v>
                </c:pt>
              </c:numCache>
            </c:numRef>
          </c:val>
          <c:extLst>
            <c:ext xmlns:c16="http://schemas.microsoft.com/office/drawing/2014/chart" uri="{C3380CC4-5D6E-409C-BE32-E72D297353CC}">
              <c16:uniqueId val="{00000001-B611-4377-8ECA-13FF1EA83774}"/>
            </c:ext>
          </c:extLst>
        </c:ser>
        <c:dLbls>
          <c:dLblPos val="outEnd"/>
          <c:showLegendKey val="0"/>
          <c:showVal val="1"/>
          <c:showCatName val="0"/>
          <c:showSerName val="0"/>
          <c:showPercent val="0"/>
          <c:showBubbleSize val="0"/>
        </c:dLbls>
        <c:gapWidth val="182"/>
        <c:axId val="1156013439"/>
        <c:axId val="1156014879"/>
      </c:barChart>
      <c:catAx>
        <c:axId val="1156013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56014879"/>
        <c:crosses val="autoZero"/>
        <c:auto val="1"/>
        <c:lblAlgn val="ctr"/>
        <c:lblOffset val="100"/>
        <c:noMultiLvlLbl val="0"/>
      </c:catAx>
      <c:valAx>
        <c:axId val="1156014879"/>
        <c:scaling>
          <c:orientation val="minMax"/>
        </c:scaling>
        <c:delete val="1"/>
        <c:axPos val="b"/>
        <c:numFmt formatCode="General" sourceLinked="1"/>
        <c:majorTickMark val="out"/>
        <c:minorTickMark val="none"/>
        <c:tickLblPos val="nextTo"/>
        <c:crossAx val="115601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4658"/>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[customer-product-review-dashboard.xlsx]Pivot Tables!PivotTable33</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Reviews</a:t>
            </a:r>
            <a:r>
              <a:rPr lang="en-US" b="1" baseline="0"/>
              <a:t> Per Countries_Locations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Tables'!$L$22</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Tables'!$K$23:$K$28</c:f>
              <c:strCache>
                <c:ptCount val="5"/>
                <c:pt idx="0">
                  <c:v>USA</c:v>
                </c:pt>
                <c:pt idx="1">
                  <c:v>unknown</c:v>
                </c:pt>
                <c:pt idx="2">
                  <c:v>Canada</c:v>
                </c:pt>
                <c:pt idx="3">
                  <c:v>Australia</c:v>
                </c:pt>
                <c:pt idx="4">
                  <c:v>UK</c:v>
                </c:pt>
              </c:strCache>
            </c:strRef>
          </c:cat>
          <c:val>
            <c:numRef>
              <c:f>'Pivot Tables'!$L$23:$L$28</c:f>
              <c:numCache>
                <c:formatCode>General</c:formatCode>
                <c:ptCount val="5"/>
                <c:pt idx="0">
                  <c:v>49</c:v>
                </c:pt>
                <c:pt idx="1">
                  <c:v>24</c:v>
                </c:pt>
                <c:pt idx="2">
                  <c:v>23</c:v>
                </c:pt>
                <c:pt idx="3">
                  <c:v>16</c:v>
                </c:pt>
                <c:pt idx="4">
                  <c:v>16</c:v>
                </c:pt>
              </c:numCache>
            </c:numRef>
          </c:val>
          <c:extLst>
            <c:ext xmlns:c16="http://schemas.microsoft.com/office/drawing/2014/chart" uri="{C3380CC4-5D6E-409C-BE32-E72D297353CC}">
              <c16:uniqueId val="{00000001-C7BF-41B2-AC2F-356196F515EC}"/>
            </c:ext>
          </c:extLst>
        </c:ser>
        <c:dLbls>
          <c:dLblPos val="outEnd"/>
          <c:showLegendKey val="0"/>
          <c:showVal val="1"/>
          <c:showCatName val="0"/>
          <c:showSerName val="0"/>
          <c:showPercent val="0"/>
          <c:showBubbleSize val="0"/>
        </c:dLbls>
        <c:gapWidth val="182"/>
        <c:axId val="1156025439"/>
        <c:axId val="1156025919"/>
      </c:barChart>
      <c:catAx>
        <c:axId val="115602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56025919"/>
        <c:crosses val="autoZero"/>
        <c:auto val="1"/>
        <c:lblAlgn val="ctr"/>
        <c:lblOffset val="100"/>
        <c:noMultiLvlLbl val="0"/>
      </c:catAx>
      <c:valAx>
        <c:axId val="1156025919"/>
        <c:scaling>
          <c:orientation val="minMax"/>
        </c:scaling>
        <c:delete val="1"/>
        <c:axPos val="l"/>
        <c:numFmt formatCode="General" sourceLinked="1"/>
        <c:majorTickMark val="none"/>
        <c:minorTickMark val="none"/>
        <c:tickLblPos val="nextTo"/>
        <c:crossAx val="115602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4658"/>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[customer-product-review-dashboard.xlsx]Pivot Tables!PivotTable34</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Reviews</a:t>
            </a:r>
            <a:r>
              <a:rPr lang="en-US" b="1" baseline="0"/>
              <a:t> Per Customers_Id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Tables'!$N$22</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Tables'!$M$23:$M$29</c:f>
              <c:strCache>
                <c:ptCount val="6"/>
                <c:pt idx="0">
                  <c:v>CUST018</c:v>
                </c:pt>
                <c:pt idx="1">
                  <c:v>CUST071</c:v>
                </c:pt>
                <c:pt idx="2">
                  <c:v>CUST044</c:v>
                </c:pt>
                <c:pt idx="3">
                  <c:v>CUSAT038</c:v>
                </c:pt>
                <c:pt idx="4">
                  <c:v>CUSAT032</c:v>
                </c:pt>
                <c:pt idx="5">
                  <c:v>CUSAT1002</c:v>
                </c:pt>
              </c:strCache>
            </c:strRef>
          </c:cat>
          <c:val>
            <c:numRef>
              <c:f>'Pivot Tables'!$N$23:$N$29</c:f>
              <c:numCache>
                <c:formatCode>General</c:formatCode>
                <c:ptCount val="6"/>
                <c:pt idx="0">
                  <c:v>4</c:v>
                </c:pt>
                <c:pt idx="1">
                  <c:v>4</c:v>
                </c:pt>
                <c:pt idx="2">
                  <c:v>4</c:v>
                </c:pt>
                <c:pt idx="3">
                  <c:v>4</c:v>
                </c:pt>
                <c:pt idx="4">
                  <c:v>3</c:v>
                </c:pt>
                <c:pt idx="5">
                  <c:v>3</c:v>
                </c:pt>
              </c:numCache>
            </c:numRef>
          </c:val>
          <c:extLst>
            <c:ext xmlns:c16="http://schemas.microsoft.com/office/drawing/2014/chart" uri="{C3380CC4-5D6E-409C-BE32-E72D297353CC}">
              <c16:uniqueId val="{00000001-CFF0-4A5D-B480-8C8D0256B29B}"/>
            </c:ext>
          </c:extLst>
        </c:ser>
        <c:dLbls>
          <c:dLblPos val="outEnd"/>
          <c:showLegendKey val="0"/>
          <c:showVal val="1"/>
          <c:showCatName val="0"/>
          <c:showSerName val="0"/>
          <c:showPercent val="0"/>
          <c:showBubbleSize val="0"/>
        </c:dLbls>
        <c:gapWidth val="219"/>
        <c:axId val="1156015839"/>
        <c:axId val="1156016319"/>
      </c:barChart>
      <c:catAx>
        <c:axId val="115601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56016319"/>
        <c:crosses val="autoZero"/>
        <c:auto val="1"/>
        <c:lblAlgn val="ctr"/>
        <c:lblOffset val="100"/>
        <c:noMultiLvlLbl val="0"/>
      </c:catAx>
      <c:valAx>
        <c:axId val="1156016319"/>
        <c:scaling>
          <c:orientation val="minMax"/>
        </c:scaling>
        <c:delete val="1"/>
        <c:axPos val="b"/>
        <c:numFmt formatCode="General" sourceLinked="1"/>
        <c:majorTickMark val="none"/>
        <c:minorTickMark val="none"/>
        <c:tickLblPos val="nextTo"/>
        <c:crossAx val="115601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4658"/>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45720</xdr:colOff>
      <xdr:row>0</xdr:row>
      <xdr:rowOff>30480</xdr:rowOff>
    </xdr:from>
    <xdr:to>
      <xdr:col>12</xdr:col>
      <xdr:colOff>327660</xdr:colOff>
      <xdr:row>4</xdr:row>
      <xdr:rowOff>106680</xdr:rowOff>
    </xdr:to>
    <xdr:sp macro="" textlink="'Pivot Tables'!A2">
      <xdr:nvSpPr>
        <xdr:cNvPr id="2" name="Rectangle: Rounded Corners 1">
          <a:extLst>
            <a:ext uri="{FF2B5EF4-FFF2-40B4-BE49-F238E27FC236}">
              <a16:creationId xmlns:a16="http://schemas.microsoft.com/office/drawing/2014/main" id="{E12906E0-B45D-03BF-DD38-015672EBCF18}"/>
            </a:ext>
          </a:extLst>
        </xdr:cNvPr>
        <xdr:cNvSpPr/>
      </xdr:nvSpPr>
      <xdr:spPr>
        <a:xfrm>
          <a:off x="5532120" y="30480"/>
          <a:ext cx="2110740" cy="807720"/>
        </a:xfrm>
        <a:prstGeom prst="roundRect">
          <a:avLst>
            <a:gd name="adj" fmla="val 18502"/>
          </a:avLst>
        </a:prstGeom>
        <a:solidFill>
          <a:srgbClr val="1F465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rtl="0"/>
          <a:r>
            <a:rPr lang="en-US" sz="1800" b="1" i="0" u="none" strike="noStrike">
              <a:solidFill>
                <a:schemeClr val="bg1"/>
              </a:solidFill>
              <a:latin typeface="Aptos Narrow"/>
            </a:rPr>
            <a:t>Total</a:t>
          </a:r>
          <a:r>
            <a:rPr lang="en-US" sz="1800" b="1" i="0" u="none" strike="noStrike" baseline="0">
              <a:solidFill>
                <a:schemeClr val="bg1"/>
              </a:solidFill>
              <a:latin typeface="Aptos Narrow"/>
            </a:rPr>
            <a:t> Reviews</a:t>
          </a:r>
          <a:endParaRPr lang="en-US" sz="2000" b="1" i="0" u="none" strike="noStrike">
            <a:solidFill>
              <a:schemeClr val="bg1"/>
            </a:solidFill>
            <a:latin typeface="Aptos Narrow"/>
          </a:endParaRPr>
        </a:p>
        <a:p>
          <a:pPr lvl="3" algn="ctr" rtl="0"/>
          <a:fld id="{954CBCE0-79EA-4C5C-8CCE-702207883245}" type="TxLink">
            <a:rPr lang="en-US" sz="2000" b="1" i="0" u="none" strike="noStrike">
              <a:solidFill>
                <a:schemeClr val="bg1"/>
              </a:solidFill>
              <a:latin typeface="Aptos Narrow"/>
            </a:rPr>
            <a:pPr lvl="3" algn="ctr" rtl="0"/>
            <a:t>200</a:t>
          </a:fld>
          <a:endParaRPr lang="en-US" sz="2000" b="1">
            <a:solidFill>
              <a:schemeClr val="bg1"/>
            </a:solidFill>
          </a:endParaRPr>
        </a:p>
      </xdr:txBody>
    </xdr:sp>
    <xdr:clientData/>
  </xdr:twoCellAnchor>
  <xdr:twoCellAnchor>
    <xdr:from>
      <xdr:col>12</xdr:col>
      <xdr:colOff>373380</xdr:colOff>
      <xdr:row>0</xdr:row>
      <xdr:rowOff>30480</xdr:rowOff>
    </xdr:from>
    <xdr:to>
      <xdr:col>16</xdr:col>
      <xdr:colOff>45720</xdr:colOff>
      <xdr:row>4</xdr:row>
      <xdr:rowOff>91440</xdr:rowOff>
    </xdr:to>
    <xdr:sp macro="" textlink="'Pivot Tables'!B2">
      <xdr:nvSpPr>
        <xdr:cNvPr id="3" name="Rectangle: Rounded Corners 2">
          <a:extLst>
            <a:ext uri="{FF2B5EF4-FFF2-40B4-BE49-F238E27FC236}">
              <a16:creationId xmlns:a16="http://schemas.microsoft.com/office/drawing/2014/main" id="{CF560C99-6109-4B0D-9EB1-19E5A4EEF9F3}"/>
            </a:ext>
          </a:extLst>
        </xdr:cNvPr>
        <xdr:cNvSpPr/>
      </xdr:nvSpPr>
      <xdr:spPr>
        <a:xfrm>
          <a:off x="7688580" y="30480"/>
          <a:ext cx="2110740" cy="792480"/>
        </a:xfrm>
        <a:prstGeom prst="roundRect">
          <a:avLst>
            <a:gd name="adj" fmla="val 18502"/>
          </a:avLst>
        </a:prstGeom>
        <a:solidFill>
          <a:srgbClr val="1F465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rtl="0"/>
          <a:r>
            <a:rPr lang="en-US" sz="1800" b="1" i="0" u="none" strike="noStrike">
              <a:solidFill>
                <a:schemeClr val="bg1"/>
              </a:solidFill>
              <a:latin typeface="Aptos Narrow"/>
            </a:rPr>
            <a:t>Total</a:t>
          </a:r>
          <a:r>
            <a:rPr lang="en-US" sz="1800" b="1" i="0" u="none" strike="noStrike" baseline="0">
              <a:solidFill>
                <a:schemeClr val="bg1"/>
              </a:solidFill>
              <a:latin typeface="Aptos Narrow"/>
            </a:rPr>
            <a:t> Customers</a:t>
          </a:r>
          <a:endParaRPr lang="en-US" sz="2000" b="1" i="0" u="none" strike="noStrike">
            <a:solidFill>
              <a:schemeClr val="bg1"/>
            </a:solidFill>
            <a:latin typeface="Aptos Narrow"/>
          </a:endParaRPr>
        </a:p>
        <a:p>
          <a:pPr lvl="3" algn="ctr" rtl="0"/>
          <a:fld id="{B459BC37-7D75-4526-8D22-2424D6BE69B0}" type="TxLink">
            <a:rPr lang="en-US" sz="2000" b="1" i="0" u="none" strike="noStrike">
              <a:solidFill>
                <a:schemeClr val="bg1"/>
              </a:solidFill>
              <a:latin typeface="Aptos Narrow"/>
            </a:rPr>
            <a:pPr lvl="3" algn="ctr" rtl="0"/>
            <a:t>128</a:t>
          </a:fld>
          <a:endParaRPr lang="en-US" sz="2000" b="1">
            <a:solidFill>
              <a:schemeClr val="bg1"/>
            </a:solidFill>
          </a:endParaRPr>
        </a:p>
      </xdr:txBody>
    </xdr:sp>
    <xdr:clientData/>
  </xdr:twoCellAnchor>
  <xdr:twoCellAnchor>
    <xdr:from>
      <xdr:col>16</xdr:col>
      <xdr:colOff>99060</xdr:colOff>
      <xdr:row>0</xdr:row>
      <xdr:rowOff>38100</xdr:rowOff>
    </xdr:from>
    <xdr:to>
      <xdr:col>19</xdr:col>
      <xdr:colOff>381000</xdr:colOff>
      <xdr:row>4</xdr:row>
      <xdr:rowOff>83820</xdr:rowOff>
    </xdr:to>
    <xdr:sp macro="" textlink="'Pivot Tables'!C2">
      <xdr:nvSpPr>
        <xdr:cNvPr id="4" name="Rectangle: Rounded Corners 3">
          <a:extLst>
            <a:ext uri="{FF2B5EF4-FFF2-40B4-BE49-F238E27FC236}">
              <a16:creationId xmlns:a16="http://schemas.microsoft.com/office/drawing/2014/main" id="{557B64B9-39CE-49DA-B81D-37694AD01E62}"/>
            </a:ext>
          </a:extLst>
        </xdr:cNvPr>
        <xdr:cNvSpPr/>
      </xdr:nvSpPr>
      <xdr:spPr>
        <a:xfrm>
          <a:off x="9852660" y="38100"/>
          <a:ext cx="2110740" cy="777240"/>
        </a:xfrm>
        <a:prstGeom prst="roundRect">
          <a:avLst>
            <a:gd name="adj" fmla="val 18502"/>
          </a:avLst>
        </a:prstGeom>
        <a:solidFill>
          <a:srgbClr val="1F465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rtl="0"/>
          <a:r>
            <a:rPr lang="en-US" sz="1800" b="1" i="0" u="none" strike="noStrike">
              <a:solidFill>
                <a:schemeClr val="bg1"/>
              </a:solidFill>
              <a:effectLst/>
              <a:latin typeface="Aptos Narrow"/>
              <a:ea typeface="+mn-ea"/>
              <a:cs typeface="+mn-cs"/>
            </a:rPr>
            <a:t>Total</a:t>
          </a:r>
          <a:r>
            <a:rPr lang="en-US" sz="1800" b="1" i="0" u="none" strike="noStrike" baseline="0">
              <a:solidFill>
                <a:schemeClr val="bg1"/>
              </a:solidFill>
              <a:effectLst/>
              <a:latin typeface="Aptos Narrow"/>
              <a:ea typeface="+mn-ea"/>
              <a:cs typeface="+mn-cs"/>
            </a:rPr>
            <a:t> Products</a:t>
          </a:r>
          <a:endParaRPr lang="en-US" sz="2000" b="1" i="0" u="none" strike="noStrike">
            <a:solidFill>
              <a:schemeClr val="bg1"/>
            </a:solidFill>
            <a:effectLst/>
            <a:latin typeface="Aptos Narrow"/>
            <a:ea typeface="+mn-ea"/>
            <a:cs typeface="+mn-cs"/>
          </a:endParaRPr>
        </a:p>
        <a:p>
          <a:pPr lvl="3" algn="ctr" rtl="0"/>
          <a:fld id="{6D6C4002-CCB1-43DC-8C34-53F47C37C849}" type="TxLink">
            <a:rPr lang="en-US" sz="2000" b="1" i="0" u="none" strike="noStrike">
              <a:solidFill>
                <a:schemeClr val="bg1"/>
              </a:solidFill>
              <a:effectLst/>
              <a:latin typeface="Aptos Narrow"/>
              <a:ea typeface="+mn-ea"/>
              <a:cs typeface="+mn-cs"/>
            </a:rPr>
            <a:pPr lvl="3" algn="ctr" rtl="0"/>
            <a:t>42</a:t>
          </a:fld>
          <a:endParaRPr lang="en-US" sz="2000" b="1">
            <a:solidFill>
              <a:schemeClr val="bg1"/>
            </a:solidFill>
          </a:endParaRPr>
        </a:p>
      </xdr:txBody>
    </xdr:sp>
    <xdr:clientData/>
  </xdr:twoCellAnchor>
  <xdr:twoCellAnchor editAs="oneCell">
    <xdr:from>
      <xdr:col>0</xdr:col>
      <xdr:colOff>30480</xdr:colOff>
      <xdr:row>24</xdr:row>
      <xdr:rowOff>76200</xdr:rowOff>
    </xdr:from>
    <xdr:to>
      <xdr:col>1</xdr:col>
      <xdr:colOff>594360</xdr:colOff>
      <xdr:row>34</xdr:row>
      <xdr:rowOff>22860</xdr:rowOff>
    </xdr:to>
    <mc:AlternateContent xmlns:mc="http://schemas.openxmlformats.org/markup-compatibility/2006">
      <mc:Choice xmlns:a14="http://schemas.microsoft.com/office/drawing/2010/main" Requires="a14">
        <xdr:graphicFrame macro="">
          <xdr:nvGraphicFramePr>
            <xdr:cNvPr id="21" name="customer_location_country 2">
              <a:extLst>
                <a:ext uri="{FF2B5EF4-FFF2-40B4-BE49-F238E27FC236}">
                  <a16:creationId xmlns:a16="http://schemas.microsoft.com/office/drawing/2014/main" id="{96080695-3256-47E7-B51F-7CE0CA612C1C}"/>
                </a:ext>
              </a:extLst>
            </xdr:cNvPr>
            <xdr:cNvGraphicFramePr/>
          </xdr:nvGraphicFramePr>
          <xdr:xfrm>
            <a:off x="0" y="0"/>
            <a:ext cx="0" cy="0"/>
          </xdr:xfrm>
          <a:graphic>
            <a:graphicData uri="http://schemas.microsoft.com/office/drawing/2010/slicer">
              <sle:slicer xmlns:sle="http://schemas.microsoft.com/office/drawing/2010/slicer" name="customer_location_country 2"/>
            </a:graphicData>
          </a:graphic>
        </xdr:graphicFrame>
      </mc:Choice>
      <mc:Fallback>
        <xdr:sp macro="" textlink="">
          <xdr:nvSpPr>
            <xdr:cNvPr id="0" name=""/>
            <xdr:cNvSpPr>
              <a:spLocks noTextEdit="1"/>
            </xdr:cNvSpPr>
          </xdr:nvSpPr>
          <xdr:spPr>
            <a:xfrm>
              <a:off x="30480" y="4465320"/>
              <a:ext cx="1173480" cy="17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4</xdr:row>
      <xdr:rowOff>160020</xdr:rowOff>
    </xdr:from>
    <xdr:to>
      <xdr:col>1</xdr:col>
      <xdr:colOff>579120</xdr:colOff>
      <xdr:row>14</xdr:row>
      <xdr:rowOff>106680</xdr:rowOff>
    </xdr:to>
    <mc:AlternateContent xmlns:mc="http://schemas.openxmlformats.org/markup-compatibility/2006">
      <mc:Choice xmlns:a14="http://schemas.microsoft.com/office/drawing/2010/main" Requires="a14">
        <xdr:graphicFrame macro="">
          <xdr:nvGraphicFramePr>
            <xdr:cNvPr id="22" name="rating 2">
              <a:extLst>
                <a:ext uri="{FF2B5EF4-FFF2-40B4-BE49-F238E27FC236}">
                  <a16:creationId xmlns:a16="http://schemas.microsoft.com/office/drawing/2014/main" id="{FEC73FAA-2DFD-4CA4-9E68-210A2550EE20}"/>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dr:sp macro="" textlink="">
          <xdr:nvSpPr>
            <xdr:cNvPr id="0" name=""/>
            <xdr:cNvSpPr>
              <a:spLocks noTextEdit="1"/>
            </xdr:cNvSpPr>
          </xdr:nvSpPr>
          <xdr:spPr>
            <a:xfrm>
              <a:off x="15240" y="891540"/>
              <a:ext cx="1173480" cy="17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426720</xdr:colOff>
      <xdr:row>0</xdr:row>
      <xdr:rowOff>30480</xdr:rowOff>
    </xdr:from>
    <xdr:to>
      <xdr:col>23</xdr:col>
      <xdr:colOff>373380</xdr:colOff>
      <xdr:row>17</xdr:row>
      <xdr:rowOff>76200</xdr:rowOff>
    </xdr:to>
    <xdr:graphicFrame macro="">
      <xdr:nvGraphicFramePr>
        <xdr:cNvPr id="23" name="Chart 22">
          <a:extLst>
            <a:ext uri="{FF2B5EF4-FFF2-40B4-BE49-F238E27FC236}">
              <a16:creationId xmlns:a16="http://schemas.microsoft.com/office/drawing/2014/main" id="{ECF1FB7E-DD24-47DB-865E-45396F103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xdr:colOff>
      <xdr:row>4</xdr:row>
      <xdr:rowOff>137160</xdr:rowOff>
    </xdr:from>
    <xdr:to>
      <xdr:col>10</xdr:col>
      <xdr:colOff>548640</xdr:colOff>
      <xdr:row>17</xdr:row>
      <xdr:rowOff>91440</xdr:rowOff>
    </xdr:to>
    <xdr:graphicFrame macro="">
      <xdr:nvGraphicFramePr>
        <xdr:cNvPr id="24" name="Chart 23">
          <a:extLst>
            <a:ext uri="{FF2B5EF4-FFF2-40B4-BE49-F238E27FC236}">
              <a16:creationId xmlns:a16="http://schemas.microsoft.com/office/drawing/2014/main" id="{5CC67B7C-4B80-4255-913E-1DE9B5592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601980</xdr:colOff>
      <xdr:row>4</xdr:row>
      <xdr:rowOff>129540</xdr:rowOff>
    </xdr:from>
    <xdr:to>
      <xdr:col>14</xdr:col>
      <xdr:colOff>480060</xdr:colOff>
      <xdr:row>17</xdr:row>
      <xdr:rowOff>106680</xdr:rowOff>
    </xdr:to>
    <xdr:graphicFrame macro="">
      <xdr:nvGraphicFramePr>
        <xdr:cNvPr id="25" name="Chart 24">
          <a:extLst>
            <a:ext uri="{FF2B5EF4-FFF2-40B4-BE49-F238E27FC236}">
              <a16:creationId xmlns:a16="http://schemas.microsoft.com/office/drawing/2014/main" id="{5A82B837-30BB-492A-8986-7D2697975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518160</xdr:colOff>
      <xdr:row>4</xdr:row>
      <xdr:rowOff>121920</xdr:rowOff>
    </xdr:from>
    <xdr:to>
      <xdr:col>19</xdr:col>
      <xdr:colOff>388620</xdr:colOff>
      <xdr:row>17</xdr:row>
      <xdr:rowOff>91440</xdr:rowOff>
    </xdr:to>
    <xdr:graphicFrame macro="">
      <xdr:nvGraphicFramePr>
        <xdr:cNvPr id="26" name="Chart 25">
          <a:extLst>
            <a:ext uri="{FF2B5EF4-FFF2-40B4-BE49-F238E27FC236}">
              <a16:creationId xmlns:a16="http://schemas.microsoft.com/office/drawing/2014/main" id="{421C121B-46E5-44E5-B779-A89DE08D5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502920</xdr:colOff>
      <xdr:row>17</xdr:row>
      <xdr:rowOff>121920</xdr:rowOff>
    </xdr:from>
    <xdr:to>
      <xdr:col>23</xdr:col>
      <xdr:colOff>373380</xdr:colOff>
      <xdr:row>33</xdr:row>
      <xdr:rowOff>38100</xdr:rowOff>
    </xdr:to>
    <xdr:graphicFrame macro="">
      <xdr:nvGraphicFramePr>
        <xdr:cNvPr id="27" name="Chart 26">
          <a:extLst>
            <a:ext uri="{FF2B5EF4-FFF2-40B4-BE49-F238E27FC236}">
              <a16:creationId xmlns:a16="http://schemas.microsoft.com/office/drawing/2014/main" id="{F0E7887B-6B17-4521-BE8C-5EB8AC964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68580</xdr:colOff>
      <xdr:row>17</xdr:row>
      <xdr:rowOff>144780</xdr:rowOff>
    </xdr:from>
    <xdr:to>
      <xdr:col>17</xdr:col>
      <xdr:colOff>472440</xdr:colOff>
      <xdr:row>33</xdr:row>
      <xdr:rowOff>60960</xdr:rowOff>
    </xdr:to>
    <xdr:graphicFrame macro="">
      <xdr:nvGraphicFramePr>
        <xdr:cNvPr id="28" name="Chart 27">
          <a:extLst>
            <a:ext uri="{FF2B5EF4-FFF2-40B4-BE49-F238E27FC236}">
              <a16:creationId xmlns:a16="http://schemas.microsoft.com/office/drawing/2014/main" id="{F2B7DCC8-361E-4D0B-8678-D83667E62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15240</xdr:colOff>
      <xdr:row>4</xdr:row>
      <xdr:rowOff>129540</xdr:rowOff>
    </xdr:from>
    <xdr:to>
      <xdr:col>7</xdr:col>
      <xdr:colOff>7620</xdr:colOff>
      <xdr:row>16</xdr:row>
      <xdr:rowOff>167640</xdr:rowOff>
    </xdr:to>
    <xdr:graphicFrame macro="">
      <xdr:nvGraphicFramePr>
        <xdr:cNvPr id="29" name="Chart 28">
          <a:extLst>
            <a:ext uri="{FF2B5EF4-FFF2-40B4-BE49-F238E27FC236}">
              <a16:creationId xmlns:a16="http://schemas.microsoft.com/office/drawing/2014/main" id="{7B6BB683-D72E-4C28-B9A5-11005DBB1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7620</xdr:colOff>
      <xdr:row>17</xdr:row>
      <xdr:rowOff>22860</xdr:rowOff>
    </xdr:from>
    <xdr:to>
      <xdr:col>7</xdr:col>
      <xdr:colOff>7620</xdr:colOff>
      <xdr:row>33</xdr:row>
      <xdr:rowOff>83820</xdr:rowOff>
    </xdr:to>
    <xdr:graphicFrame macro="">
      <xdr:nvGraphicFramePr>
        <xdr:cNvPr id="30" name="Chart 29">
          <a:extLst>
            <a:ext uri="{FF2B5EF4-FFF2-40B4-BE49-F238E27FC236}">
              <a16:creationId xmlns:a16="http://schemas.microsoft.com/office/drawing/2014/main" id="{B6E2AA53-E540-4146-8D1E-5AB5D812F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60960</xdr:colOff>
      <xdr:row>17</xdr:row>
      <xdr:rowOff>137160</xdr:rowOff>
    </xdr:from>
    <xdr:to>
      <xdr:col>12</xdr:col>
      <xdr:colOff>60960</xdr:colOff>
      <xdr:row>33</xdr:row>
      <xdr:rowOff>76200</xdr:rowOff>
    </xdr:to>
    <xdr:graphicFrame macro="">
      <xdr:nvGraphicFramePr>
        <xdr:cNvPr id="31" name="Chart 30">
          <a:extLst>
            <a:ext uri="{FF2B5EF4-FFF2-40B4-BE49-F238E27FC236}">
              <a16:creationId xmlns:a16="http://schemas.microsoft.com/office/drawing/2014/main" id="{F97BC0BB-8470-4D4E-9706-94902FCD6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464820</xdr:colOff>
      <xdr:row>0</xdr:row>
      <xdr:rowOff>30480</xdr:rowOff>
    </xdr:from>
    <xdr:to>
      <xdr:col>9</xdr:col>
      <xdr:colOff>0</xdr:colOff>
      <xdr:row>4</xdr:row>
      <xdr:rowOff>99060</xdr:rowOff>
    </xdr:to>
    <xdr:sp macro="" textlink="">
      <xdr:nvSpPr>
        <xdr:cNvPr id="32" name="Rectangle: Rounded Corners 31">
          <a:extLst>
            <a:ext uri="{FF2B5EF4-FFF2-40B4-BE49-F238E27FC236}">
              <a16:creationId xmlns:a16="http://schemas.microsoft.com/office/drawing/2014/main" id="{020FCFBC-E7BA-AAF3-5683-C2C8C51043CC}"/>
            </a:ext>
          </a:extLst>
        </xdr:cNvPr>
        <xdr:cNvSpPr/>
      </xdr:nvSpPr>
      <xdr:spPr>
        <a:xfrm>
          <a:off x="1074420" y="30480"/>
          <a:ext cx="4411980" cy="800100"/>
        </a:xfrm>
        <a:prstGeom prst="roundRect">
          <a:avLst>
            <a:gd name="adj" fmla="val 33845"/>
          </a:avLst>
        </a:prstGeom>
        <a:solidFill>
          <a:srgbClr val="1F465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Customer</a:t>
          </a:r>
          <a:r>
            <a:rPr lang="en-US" sz="2800" b="1" baseline="0"/>
            <a:t> Product Reviews</a:t>
          </a:r>
          <a:endParaRPr lang="en-US" sz="2800" b="1"/>
        </a:p>
      </xdr:txBody>
    </xdr:sp>
    <xdr:clientData/>
  </xdr:twoCellAnchor>
  <xdr:twoCellAnchor editAs="oneCell">
    <xdr:from>
      <xdr:col>0</xdr:col>
      <xdr:colOff>22860</xdr:colOff>
      <xdr:row>14</xdr:row>
      <xdr:rowOff>99061</xdr:rowOff>
    </xdr:from>
    <xdr:to>
      <xdr:col>1</xdr:col>
      <xdr:colOff>586740</xdr:colOff>
      <xdr:row>24</xdr:row>
      <xdr:rowOff>83820</xdr:rowOff>
    </xdr:to>
    <mc:AlternateContent xmlns:mc="http://schemas.openxmlformats.org/markup-compatibility/2006">
      <mc:Choice xmlns:a14="http://schemas.microsoft.com/office/drawing/2010/main" Requires="a14">
        <xdr:graphicFrame macro="">
          <xdr:nvGraphicFramePr>
            <xdr:cNvPr id="33" name="review_date_month">
              <a:extLst>
                <a:ext uri="{FF2B5EF4-FFF2-40B4-BE49-F238E27FC236}">
                  <a16:creationId xmlns:a16="http://schemas.microsoft.com/office/drawing/2014/main" id="{A347322C-3405-441D-AA57-432A6C487994}"/>
                </a:ext>
              </a:extLst>
            </xdr:cNvPr>
            <xdr:cNvGraphicFramePr/>
          </xdr:nvGraphicFramePr>
          <xdr:xfrm>
            <a:off x="0" y="0"/>
            <a:ext cx="0" cy="0"/>
          </xdr:xfrm>
          <a:graphic>
            <a:graphicData uri="http://schemas.microsoft.com/office/drawing/2010/slicer">
              <sle:slicer xmlns:sle="http://schemas.microsoft.com/office/drawing/2010/slicer" name="review_date_month"/>
            </a:graphicData>
          </a:graphic>
        </xdr:graphicFrame>
      </mc:Choice>
      <mc:Fallback>
        <xdr:sp macro="" textlink="">
          <xdr:nvSpPr>
            <xdr:cNvPr id="0" name=""/>
            <xdr:cNvSpPr>
              <a:spLocks noTextEdit="1"/>
            </xdr:cNvSpPr>
          </xdr:nvSpPr>
          <xdr:spPr>
            <a:xfrm>
              <a:off x="22860" y="2659381"/>
              <a:ext cx="1173480" cy="1813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0</xdr:row>
      <xdr:rowOff>7619</xdr:rowOff>
    </xdr:from>
    <xdr:to>
      <xdr:col>1</xdr:col>
      <xdr:colOff>396240</xdr:colOff>
      <xdr:row>4</xdr:row>
      <xdr:rowOff>114300</xdr:rowOff>
    </xdr:to>
    <xdr:pic>
      <xdr:nvPicPr>
        <xdr:cNvPr id="35" name="Picture 34">
          <a:extLst>
            <a:ext uri="{FF2B5EF4-FFF2-40B4-BE49-F238E27FC236}">
              <a16:creationId xmlns:a16="http://schemas.microsoft.com/office/drawing/2014/main" id="{8C9F5D20-6797-1A36-9AA1-2AF2537A096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1920" y="7619"/>
          <a:ext cx="883920" cy="83820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68599537" backgroundQuery="1" createdVersion="8" refreshedVersion="8" minRefreshableVersion="3" recordCount="0" supportSubquery="1" supportAdvancedDrill="1" xr:uid="{28E7EA53-4582-4F34-8403-874C2487C788}">
  <cacheSource type="external" connectionId="1"/>
  <cacheFields count="2">
    <cacheField name="[Range 1].[review_date_month].[review_date_month]" caption="review_date_month" numFmtId="0" hierarchy="17" level="1">
      <sharedItems count="11">
        <s v="Apr"/>
        <s v="Aug"/>
        <s v="Dec"/>
        <s v="Feb"/>
        <s v="Jan"/>
        <s v="Jul"/>
        <s v="Jun"/>
        <s v="Mar"/>
        <s v="May"/>
        <s v="Oct"/>
        <s v="Sep"/>
      </sharedItems>
    </cacheField>
    <cacheField name="[Measures].[Count of review_id]" caption="Count of review_id" numFmtId="0" hierarchy="26" level="32767"/>
  </cacheFields>
  <cacheHierarchies count="32">
    <cacheHierarchy uniqueName="[Range].[customer_id]" caption="customer_id" attribute="1" defaultMemberUniqueName="[Range].[customer_id].[All]" allUniqueName="[Range].[customer_id].[All]" dimensionUniqueName="[Range]" displayFolder="" count="2" memberValueDatatype="130" unbalanced="0"/>
    <cacheHierarchy uniqueName="[Range 1].[review_id]" caption="review_id" attribute="1" defaultMemberUniqueName="[Range 1].[review_id].[All]" allUniqueName="[Range 1].[review_id].[All]" dimensionUniqueName="[Range 1]" displayFolder="" count="2" memberValueDatatype="130" unbalanced="0"/>
    <cacheHierarchy uniqueName="[Range 1].[customer_id]" caption="customer_id" attribute="1" defaultMemberUniqueName="[Range 1].[customer_id].[All]" allUniqueName="[Range 1].[customer_id].[All]" dimensionUniqueName="[Range 1]" displayFolder="" count="2"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2" memberValueDatatype="130" unbalanced="0"/>
    <cacheHierarchy uniqueName="[Range 1].[review_title]" caption="review_title" attribute="1" defaultMemberUniqueName="[Range 1].[review_title].[All]" allUniqueName="[Range 1].[review_title].[All]" dimensionUniqueName="[Range 1]" displayFolder="" count="2" memberValueDatatype="130" unbalanced="0"/>
    <cacheHierarchy uniqueName="[Range 1].[review_text]" caption="review_text" attribute="1" defaultMemberUniqueName="[Range 1].[review_text].[All]" allUniqueName="[Range 1].[review_text].[All]" dimensionUniqueName="[Range 1]" displayFolder="" count="2"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2"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cacheHierarchy uniqueName="[Range 1].[sentiment_score]" caption="sentiment_score" attribute="1" defaultMemberUniqueName="[Range 1].[sentiment_score].[All]" allUniqueName="[Range 1].[sentiment_score].[All]" dimensionUniqueName="[Range 1]" displayFolder="" count="2" memberValueDatatype="5" unbalanced="0"/>
    <cacheHierarchy uniqueName="[Range 1].[customer_gender]" caption="customer_gender" attribute="1" defaultMemberUniqueName="[Range 1].[customer_gender].[All]" allUniqueName="[Range 1].[customer_gender].[All]" dimensionUniqueName="[Range 1]" displayFolder="" count="2" memberValueDatatype="130" unbalanced="0"/>
    <cacheHierarchy uniqueName="[Range 1].[customer_age]" caption="customer_age" attribute="1" defaultMemberUniqueName="[Range 1].[customer_age].[All]" allUniqueName="[Range 1].[customer_age].[All]" dimensionUniqueName="[Range 1]" displayFolder="" count="2" memberValueDatatype="20" unbalanced="0"/>
    <cacheHierarchy uniqueName="[Range 1].[customer_location_city]" caption="customer_location_city" attribute="1" defaultMemberUniqueName="[Range 1].[customer_location_city].[All]" allUniqueName="[Range 1].[customer_location_city].[All]" dimensionUniqueName="[Range 1]" displayFolder="" count="2"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cacheHierarchy uniqueName="[Range 1].[age_range]" caption="age_range" attribute="1" defaultMemberUniqueName="[Range 1].[age_range].[All]" allUniqueName="[Range 1].[age_range].[All]" dimensionUniqueName="[Range 1]" displayFolder="" count="2" memberValueDatatype="130" unbalanced="0"/>
    <cacheHierarchy uniqueName="[Range 1].[sentiment_score_range]" caption="sentiment_score_range" attribute="1" defaultMemberUniqueName="[Range 1].[sentiment_score_range].[All]" allUniqueName="[Range 1].[sentiment_score_range].[All]" dimensionUniqueName="[Range 1]" displayFolder="" count="2"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fieldsUsage count="2">
        <fieldUsage x="-1"/>
        <fieldUsage x="0"/>
      </fieldsUsage>
    </cacheHierarchy>
    <cacheHierarchy uniqueName="[Range 1].[review_date_year]" caption="review_date_year" attribute="1" defaultMemberUniqueName="[Range 1].[review_date_year].[All]" allUniqueName="[Range 1].[review_date_year].[All]" dimensionUniqueName="[Range 1]" displayFolder="" count="2" memberValueDatatype="130" unbalanced="0"/>
    <cacheHierarchy uniqueName="[Range 2].[rating]" caption="rating" attribute="1" defaultMemberUniqueName="[Range 2].[rating].[All]" allUniqueName="[Range 2].[rating].[All]" dimensionUniqueName="[Range 2]" displayFolder="" count="2"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07060188" backgroundQuery="1" createdVersion="8" refreshedVersion="8" minRefreshableVersion="3" recordCount="0" supportSubquery="1" supportAdvancedDrill="1" xr:uid="{4B119920-3F1B-4935-B2A4-3654CF471698}">
  <cacheSource type="external" connectionId="1"/>
  <cacheFields count="2">
    <cacheField name="[Measures].[Count of review_id]" caption="Count of review_id" numFmtId="0" hierarchy="26" level="32767"/>
    <cacheField name="[Range 1].[customer_location_country].[customer_location_country]" caption="customer_location_country" numFmtId="0" hierarchy="14" level="1">
      <sharedItems count="21">
        <s v="Australia"/>
        <s v="Belgium"/>
        <s v="Canada"/>
        <s v="Czechia"/>
        <s v="Denmark"/>
        <s v="France"/>
        <s v="Germany"/>
        <s v="Ireland"/>
        <s v="Italy"/>
        <s v="Japan"/>
        <s v="Netherlands"/>
        <s v="New Zealand"/>
        <s v="Norway"/>
        <s v="Poland"/>
        <s v="Portugal"/>
        <s v="Spain"/>
        <s v="Sweden"/>
        <s v="Switzerland"/>
        <s v="UK"/>
        <s v="unknown"/>
        <s v="USA"/>
      </sharedItems>
    </cacheField>
  </cacheFields>
  <cacheHierarchies count="32">
    <cacheHierarchy uniqueName="[Range].[customer_id]" caption="customer_id" attribute="1" defaultMemberUniqueName="[Range].[customer_id].[All]" allUniqueName="[Range].[customer_id].[All]" dimensionUniqueName="[Range]" displayFolder="" count="2" memberValueDatatype="130" unbalanced="0"/>
    <cacheHierarchy uniqueName="[Range 1].[review_id]" caption="review_id" attribute="1" defaultMemberUniqueName="[Range 1].[review_id].[All]" allUniqueName="[Range 1].[review_id].[All]" dimensionUniqueName="[Range 1]" displayFolder="" count="2" memberValueDatatype="130" unbalanced="0"/>
    <cacheHierarchy uniqueName="[Range 1].[customer_id]" caption="customer_id" attribute="1" defaultMemberUniqueName="[Range 1].[customer_id].[All]" allUniqueName="[Range 1].[customer_id].[All]" dimensionUniqueName="[Range 1]" displayFolder="" count="2"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2" memberValueDatatype="130" unbalanced="0"/>
    <cacheHierarchy uniqueName="[Range 1].[review_title]" caption="review_title" attribute="1" defaultMemberUniqueName="[Range 1].[review_title].[All]" allUniqueName="[Range 1].[review_title].[All]" dimensionUniqueName="[Range 1]" displayFolder="" count="2" memberValueDatatype="130" unbalanced="0"/>
    <cacheHierarchy uniqueName="[Range 1].[review_text]" caption="review_text" attribute="1" defaultMemberUniqueName="[Range 1].[review_text].[All]" allUniqueName="[Range 1].[review_text].[All]" dimensionUniqueName="[Range 1]" displayFolder="" count="2"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2"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cacheHierarchy uniqueName="[Range 1].[sentiment_score]" caption="sentiment_score" attribute="1" defaultMemberUniqueName="[Range 1].[sentiment_score].[All]" allUniqueName="[Range 1].[sentiment_score].[All]" dimensionUniqueName="[Range 1]" displayFolder="" count="2" memberValueDatatype="5" unbalanced="0"/>
    <cacheHierarchy uniqueName="[Range 1].[customer_gender]" caption="customer_gender" attribute="1" defaultMemberUniqueName="[Range 1].[customer_gender].[All]" allUniqueName="[Range 1].[customer_gender].[All]" dimensionUniqueName="[Range 1]" displayFolder="" count="2" memberValueDatatype="130" unbalanced="0"/>
    <cacheHierarchy uniqueName="[Range 1].[customer_age]" caption="customer_age" attribute="1" defaultMemberUniqueName="[Range 1].[customer_age].[All]" allUniqueName="[Range 1].[customer_age].[All]" dimensionUniqueName="[Range 1]" displayFolder="" count="2" memberValueDatatype="20" unbalanced="0"/>
    <cacheHierarchy uniqueName="[Range 1].[customer_location_city]" caption="customer_location_city" attribute="1" defaultMemberUniqueName="[Range 1].[customer_location_city].[All]" allUniqueName="[Range 1].[customer_location_city].[All]" dimensionUniqueName="[Range 1]" displayFolder="" count="2"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1"/>
      </fieldsUsage>
    </cacheHierarchy>
    <cacheHierarchy uniqueName="[Range 1].[age_range]" caption="age_range" attribute="1" defaultMemberUniqueName="[Range 1].[age_range].[All]" allUniqueName="[Range 1].[age_range].[All]" dimensionUniqueName="[Range 1]" displayFolder="" count="2" memberValueDatatype="130" unbalanced="0"/>
    <cacheHierarchy uniqueName="[Range 1].[sentiment_score_range]" caption="sentiment_score_range" attribute="1" defaultMemberUniqueName="[Range 1].[sentiment_score_range].[All]" allUniqueName="[Range 1].[sentiment_score_range].[All]" dimensionUniqueName="[Range 1]" displayFolder="" count="2"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2" memberValueDatatype="130" unbalanced="0"/>
    <cacheHierarchy uniqueName="[Range 2].[rating]" caption="rating" attribute="1" defaultMemberUniqueName="[Range 2].[rating].[All]" allUniqueName="[Range 2].[rating].[All]" dimensionUniqueName="[Range 2]" displayFolder="" count="2"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07175927" backgroundQuery="1" createdVersion="8" refreshedVersion="8" minRefreshableVersion="3" recordCount="0" supportSubquery="1" supportAdvancedDrill="1" xr:uid="{5F4B65C0-AEEA-43F9-94FA-4A0CBD7B6307}">
  <cacheSource type="external" connectionId="1"/>
  <cacheFields count="2">
    <cacheField name="[Measures].[Count of review_id]" caption="Count of review_id" numFmtId="0" hierarchy="26" level="32767"/>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0"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0" memberValueDatatype="130" unbalanced="0"/>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1"/>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07407404" backgroundQuery="1" createdVersion="8" refreshedVersion="8" minRefreshableVersion="3" recordCount="0" supportSubquery="1" supportAdvancedDrill="1" xr:uid="{3536C138-FEEB-45C7-BF5C-423830A88E49}">
  <cacheSource type="external" connectionId="1"/>
  <cacheFields count="2">
    <cacheField name="[Measures].[Distinct Count of customer_id]" caption="Distinct Count of customer_id" numFmtId="0" hierarchy="28" level="32767"/>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0"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0" memberValueDatatype="130" unbalanced="0"/>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1"/>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07638889" backgroundQuery="1" createdVersion="8" refreshedVersion="8" minRefreshableVersion="3" recordCount="0" supportSubquery="1" supportAdvancedDrill="1" xr:uid="{E8AA012B-E3C8-43E1-83DC-E828178C56E6}">
  <cacheSource type="external" connectionId="1"/>
  <cacheFields count="2">
    <cacheField name="[Measures].[Distinct Count of product_id]" caption="Distinct Count of product_id" numFmtId="0" hierarchy="30" level="32767"/>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0"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0" memberValueDatatype="130" unbalanced="0"/>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1"/>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08101851" backgroundQuery="1" createdVersion="8" refreshedVersion="8" minRefreshableVersion="3" recordCount="0" supportSubquery="1" supportAdvancedDrill="1" xr:uid="{75E9E51B-F468-4991-8BF2-A2EEBC372862}">
  <cacheSource type="external" connectionId="1"/>
  <cacheFields count="3">
    <cacheField name="[Range 1].[rating].[rating]" caption="rating" numFmtId="0" hierarchy="7"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ange 1].[rating].&amp;[1]"/>
            <x15:cachedUniqueName index="1" name="[Range 1].[rating].&amp;[2]"/>
            <x15:cachedUniqueName index="2" name="[Range 1].[rating].&amp;[3]"/>
            <x15:cachedUniqueName index="3" name="[Range 1].[rating].&amp;[4]"/>
            <x15:cachedUniqueName index="4" name="[Range 1].[rating].&amp;[5]"/>
          </x15:cachedUniqueNames>
        </ext>
      </extLst>
    </cacheField>
    <cacheField name="[Measures].[Count of review_id]" caption="Count of review_id" numFmtId="0" hierarchy="26" level="32767"/>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fieldsUsage count="2">
        <fieldUsage x="-1"/>
        <fieldUsage x="0"/>
      </fieldsUsage>
    </cacheHierarchy>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0" memberValueDatatype="130" unbalanced="0"/>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2"/>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08564813" backgroundQuery="1" createdVersion="8" refreshedVersion="8" minRefreshableVersion="3" recordCount="0" supportSubquery="1" supportAdvancedDrill="1" xr:uid="{4DE37C90-C913-4FD5-A2C6-6446D01394EA}">
  <cacheSource type="external" connectionId="1"/>
  <cacheFields count="3">
    <cacheField name="[Range 1].[verified_purchase].[verified_purchase]" caption="verified_purchase" numFmtId="0" hierarchy="8" level="1">
      <sharedItems count="2">
        <b v="0"/>
        <b v="1"/>
      </sharedItems>
    </cacheField>
    <cacheField name="[Measures].[Count of review_id]" caption="Count of review_id" numFmtId="0" hierarchy="26" level="32767"/>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2" memberValueDatatype="11" unbalanced="0">
      <fieldsUsage count="2">
        <fieldUsage x="-1"/>
        <fieldUsage x="0"/>
      </fieldsUsage>
    </cacheHierarchy>
    <cacheHierarchy uniqueName="[Range 1].[sentiment_label]" caption="sentiment_label" attribute="1" defaultMemberUniqueName="[Range 1].[sentiment_label].[All]" allUniqueName="[Range 1].[sentiment_label].[All]" dimensionUniqueName="[Range 1]" displayFolder="" count="0" memberValueDatatype="130" unbalanced="0"/>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2"/>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09143521" backgroundQuery="1" createdVersion="8" refreshedVersion="8" minRefreshableVersion="3" recordCount="0" supportSubquery="1" supportAdvancedDrill="1" xr:uid="{E4292A62-95D7-4AF6-89AE-B24ECE9A565B}">
  <cacheSource type="external" connectionId="1"/>
  <cacheFields count="3">
    <cacheField name="[Measures].[Count of review_id]" caption="Count of review_id" numFmtId="0" hierarchy="26" level="32767"/>
    <cacheField name="[Range 1].[sentiment_label].[sentiment_label]" caption="sentiment_label" numFmtId="0" hierarchy="9" level="1">
      <sharedItems count="3">
        <s v="negative"/>
        <s v="neutral"/>
        <s v="positive"/>
      </sharedItems>
    </cacheField>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fieldsUsage count="2">
        <fieldUsage x="-1"/>
        <fieldUsage x="1"/>
      </fieldsUsage>
    </cacheHierarchy>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2"/>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09490744" backgroundQuery="1" createdVersion="8" refreshedVersion="8" minRefreshableVersion="3" recordCount="0" supportSubquery="1" supportAdvancedDrill="1" xr:uid="{75812213-2B08-4859-9CEE-692399AEED96}">
  <cacheSource type="external" connectionId="1"/>
  <cacheFields count="3">
    <cacheField name="[Measures].[Count of review_id]" caption="Count of review_id" numFmtId="0" hierarchy="26" level="32767"/>
    <cacheField name="[Range 1].[customer_gender].[customer_gender]" caption="customer_gender" numFmtId="0" hierarchy="11" level="1">
      <sharedItems count="3">
        <s v="female"/>
        <s v="male"/>
        <s v="unknown"/>
      </sharedItems>
    </cacheField>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2" memberValueDatatype="130" unbalanced="0">
      <fieldsUsage count="2">
        <fieldUsage x="-1"/>
        <fieldUsage x="1"/>
      </fieldsUsage>
    </cacheHierarchy>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2"/>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0983796" backgroundQuery="1" createdVersion="8" refreshedVersion="8" minRefreshableVersion="3" recordCount="0" supportSubquery="1" supportAdvancedDrill="1" xr:uid="{1D36BAD0-2DDF-4F8B-8ACE-E587A81AE13D}">
  <cacheSource type="external" connectionId="1"/>
  <cacheFields count="3">
    <cacheField name="[Measures].[Count of review_id]" caption="Count of review_id" numFmtId="0" hierarchy="26" level="32767"/>
    <cacheField name="[Range 1].[age_range].[age_range]" caption="age_range" numFmtId="0" hierarchy="15" level="1">
      <sharedItems count="5">
        <s v="17–25"/>
        <s v="26–33"/>
        <s v="34–45"/>
        <s v="46–55"/>
        <s v="56-66"/>
      </sharedItems>
    </cacheField>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2"/>
      </fieldsUsage>
    </cacheHierarchy>
    <cacheHierarchy uniqueName="[Range 1].[age_range]" caption="age_range" attribute="1" defaultMemberUniqueName="[Range 1].[age_range].[All]" allUniqueName="[Range 1].[age_range].[All]" dimensionUniqueName="[Range 1]" displayFolder="" count="2" memberValueDatatype="130" unbalanced="0">
      <fieldsUsage count="2">
        <fieldUsage x="-1"/>
        <fieldUsage x="1"/>
      </fieldsUsage>
    </cacheHierarchy>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10185183" backgroundQuery="1" createdVersion="8" refreshedVersion="8" minRefreshableVersion="3" recordCount="0" supportSubquery="1" supportAdvancedDrill="1" xr:uid="{8CD78D00-E1A4-40A9-B491-613AC4A49AD4}">
  <cacheSource type="external" connectionId="1"/>
  <cacheFields count="3">
    <cacheField name="[Measures].[Count of review_id]" caption="Count of review_id" numFmtId="0" hierarchy="26" level="32767"/>
    <cacheField name="[Range 1].[sentiment_score_range].[sentiment_score_range]" caption="sentiment_score_range" numFmtId="0" hierarchy="16" level="1">
      <sharedItems count="4">
        <s v="&gt;0.25"/>
        <s v="0.25&gt;0.5"/>
        <s v="0.5&gt;0.75"/>
        <s v="0.75&gt;1"/>
      </sharedItems>
    </cacheField>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2"/>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2" memberValueDatatype="130" unbalanced="0">
      <fieldsUsage count="2">
        <fieldUsage x="-1"/>
        <fieldUsage x="1"/>
      </fieldsUsage>
    </cacheHierarchy>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10648145" backgroundQuery="1" createdVersion="8" refreshedVersion="8" minRefreshableVersion="3" recordCount="0" supportSubquery="1" supportAdvancedDrill="1" xr:uid="{45551263-45CB-4CB2-AAEC-A6D0DDF75081}">
  <cacheSource type="external" connectionId="1"/>
  <cacheFields count="3">
    <cacheField name="[Measures].[Count of review_id]" caption="Count of review_id" numFmtId="0" hierarchy="26" level="32767"/>
    <cacheField name="[Range 1].[sentiment_label].[sentiment_label]" caption="sentiment_label" numFmtId="0" hierarchy="9" level="1">
      <sharedItems count="3">
        <s v="negative"/>
        <s v="neutral"/>
        <s v="positive"/>
      </sharedItems>
    </cacheField>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fieldsUsage count="2">
        <fieldUsage x="-1"/>
        <fieldUsage x="1"/>
      </fieldsUsage>
    </cacheHierarchy>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2"/>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11111114" backgroundQuery="1" createdVersion="8" refreshedVersion="8" minRefreshableVersion="3" recordCount="0" supportSubquery="1" supportAdvancedDrill="1" xr:uid="{EB6BD3EB-25D9-4411-8968-C9F75B16DA45}">
  <cacheSource type="external" connectionId="1"/>
  <cacheFields count="3">
    <cacheField name="[Measures].[Count of review_id]" caption="Count of review_id" numFmtId="0" hierarchy="26" level="32767"/>
    <cacheField name="[Range 1].[sentiment_label].[sentiment_label]" caption="sentiment_label" numFmtId="0" hierarchy="9" level="1">
      <sharedItems count="3">
        <s v="negative"/>
        <s v="neutral"/>
        <s v="positive"/>
      </sharedItems>
    </cacheField>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fieldsUsage count="2">
        <fieldUsage x="-1"/>
        <fieldUsage x="1"/>
      </fieldsUsage>
    </cacheHierarchy>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2"/>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1145833" backgroundQuery="1" createdVersion="8" refreshedVersion="8" minRefreshableVersion="3" recordCount="0" supportSubquery="1" supportAdvancedDrill="1" xr:uid="{DD58C3D4-BC02-458E-9D36-0059A8C98372}">
  <cacheSource type="external" connectionId="1"/>
  <cacheFields count="4">
    <cacheField name="[Measures].[Count of review_id]" caption="Count of review_id" numFmtId="0" hierarchy="26" level="32767"/>
    <cacheField name="[Range 1].[rating].[rating]" caption="rating" numFmtId="0" hierarchy="7"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ange 1].[rating].&amp;[1]"/>
            <x15:cachedUniqueName index="1" name="[Range 1].[rating].&amp;[2]"/>
            <x15:cachedUniqueName index="2" name="[Range 1].[rating].&amp;[3]"/>
            <x15:cachedUniqueName index="3" name="[Range 1].[rating].&amp;[4]"/>
            <x15:cachedUniqueName index="4" name="[Range 1].[rating].&amp;[5]"/>
          </x15:cachedUniqueNames>
        </ext>
      </extLst>
    </cacheField>
    <cacheField name="[Range 1].[review_date_year].[review_date_year]" caption="review_date_year" numFmtId="0" hierarchy="18" level="1">
      <sharedItems count="2">
        <s v="2023"/>
        <s v="2024"/>
      </sharedItems>
    </cacheField>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fieldsUsage count="2">
        <fieldUsage x="-1"/>
        <fieldUsage x="1"/>
      </fieldsUsage>
    </cacheHierarchy>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3"/>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2" memberValueDatatype="130" unbalanced="0">
      <fieldsUsage count="2">
        <fieldUsage x="-1"/>
        <fieldUsage x="2"/>
      </fieldsUsage>
    </cacheHierarchy>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12037038" backgroundQuery="1" createdVersion="8" refreshedVersion="8" minRefreshableVersion="3" recordCount="0" supportSubquery="1" supportAdvancedDrill="1" xr:uid="{9E96B6CD-A902-4887-9D01-F1E6459F205A}">
  <cacheSource type="external" connectionId="1"/>
  <cacheFields count="4">
    <cacheField name="[Measures].[Count of review_id]" caption="Count of review_id" numFmtId="0" hierarchy="26" level="32767"/>
    <cacheField name="[Range 1].[customer_location_country].[customer_location_country]" caption="customer_location_country" numFmtId="0" hierarchy="14" level="1">
      <sharedItems count="5">
        <s v="Australia"/>
        <s v="Canada"/>
        <s v="UK"/>
        <s v="unknown"/>
        <s v="USA"/>
      </sharedItems>
    </cacheField>
    <cacheField name="[Range 1].[rating].[rating]" caption="rating" numFmtId="0" hierarchy="7" level="1">
      <sharedItems containsSemiMixedTypes="0" containsNonDate="0" containsString="0"/>
    </cacheField>
    <cacheField name="[Range 1].[product_id].[product_id]" caption="product_id" numFmtId="0" hierarchy="3" level="1">
      <sharedItems count="5">
        <s v="PRD0915"/>
        <s v="PRD0934"/>
        <s v="PRD0935"/>
        <s v="PRD0936"/>
        <s v="PRD0941"/>
      </sharedItems>
    </cacheField>
  </cacheFields>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2" memberValueDatatype="130" unbalanced="0">
      <fieldsUsage count="2">
        <fieldUsage x="-1"/>
        <fieldUsage x="3"/>
      </fieldsUsage>
    </cacheHierarchy>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fieldsUsage count="2">
        <fieldUsage x="-1"/>
        <fieldUsage x="2"/>
      </fieldsUsage>
    </cacheHierarchy>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1"/>
      </fieldsUsage>
    </cacheHierarchy>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813310185" backgroundQuery="1" createdVersion="8" refreshedVersion="8" minRefreshableVersion="3" recordCount="0" supportSubquery="1" supportAdvancedDrill="1" xr:uid="{F2107468-EF06-439A-955E-7C3BB011C3D7}">
  <cacheSource type="external" connectionId="1"/>
  <cacheFields count="4">
    <cacheField name="[Measures].[Count of review_id]" caption="Count of review_id" numFmtId="0" hierarchy="26" level="32767"/>
    <cacheField name="[Range 1].[rating].[rating]" caption="rating" numFmtId="0" hierarchy="7" level="1">
      <sharedItems containsSemiMixedTypes="0" containsNonDate="0" containsString="0"/>
    </cacheField>
    <cacheField name="[Range 1].[customer_id].[customer_id]" caption="customer_id" numFmtId="0" hierarchy="2" level="1">
      <sharedItems count="6">
        <s v="CUSAT032"/>
        <s v="CUSAT038"/>
        <s v="CUSAT1002"/>
        <s v="CUST018"/>
        <s v="CUST044"/>
        <s v="CUST071"/>
      </sharedItems>
    </cacheField>
    <cacheField name="[Range 1].[customer_location_country].[customer_location_country]" caption="customer_location_country" numFmtId="0" hierarchy="14"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2" memberValueDatatype="130" unbalanced="0"/>
    <cacheHierarchy uniqueName="[Range 1].[review_id]" caption="review_id" attribute="1" defaultMemberUniqueName="[Range 1].[review_id].[All]" allUniqueName="[Range 1].[review_id].[All]" dimensionUniqueName="[Range 1]" displayFolder="" count="2" memberValueDatatype="130" unbalanced="0"/>
    <cacheHierarchy uniqueName="[Range 1].[customer_id]" caption="customer_id" attribute="1" defaultMemberUniqueName="[Range 1].[customer_id].[All]" allUniqueName="[Range 1].[customer_id].[All]" dimensionUniqueName="[Range 1]" displayFolder="" count="2" memberValueDatatype="130" unbalanced="0">
      <fieldsUsage count="2">
        <fieldUsage x="-1"/>
        <fieldUsage x="2"/>
      </fieldsUsage>
    </cacheHierarchy>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2" memberValueDatatype="130" unbalanced="0"/>
    <cacheHierarchy uniqueName="[Range 1].[review_title]" caption="review_title" attribute="1" defaultMemberUniqueName="[Range 1].[review_title].[All]" allUniqueName="[Range 1].[review_title].[All]" dimensionUniqueName="[Range 1]" displayFolder="" count="2" memberValueDatatype="130" unbalanced="0"/>
    <cacheHierarchy uniqueName="[Range 1].[review_text]" caption="review_text" attribute="1" defaultMemberUniqueName="[Range 1].[review_text].[All]" allUniqueName="[Range 1].[review_text].[All]" dimensionUniqueName="[Range 1]" displayFolder="" count="2" memberValueDatatype="130" unbalanced="0"/>
    <cacheHierarchy uniqueName="[Range 1].[rating]" caption="rating" attribute="1" defaultMemberUniqueName="[Range 1].[rating].[All]" allUniqueName="[Range 1].[rating].[All]" dimensionUniqueName="[Range 1]" displayFolder="" count="2" memberValueDatatype="20" unbalanced="0">
      <fieldsUsage count="2">
        <fieldUsage x="-1"/>
        <fieldUsage x="1"/>
      </fieldsUsage>
    </cacheHierarchy>
    <cacheHierarchy uniqueName="[Range 1].[verified_purchase]" caption="verified_purchase" attribute="1" defaultMemberUniqueName="[Range 1].[verified_purchase].[All]" allUniqueName="[Range 1].[verified_purchase].[All]" dimensionUniqueName="[Range 1]" displayFolder="" count="2"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cacheHierarchy uniqueName="[Range 1].[sentiment_score]" caption="sentiment_score" attribute="1" defaultMemberUniqueName="[Range 1].[sentiment_score].[All]" allUniqueName="[Range 1].[sentiment_score].[All]" dimensionUniqueName="[Range 1]" displayFolder="" count="2" memberValueDatatype="5" unbalanced="0"/>
    <cacheHierarchy uniqueName="[Range 1].[customer_gender]" caption="customer_gender" attribute="1" defaultMemberUniqueName="[Range 1].[customer_gender].[All]" allUniqueName="[Range 1].[customer_gender].[All]" dimensionUniqueName="[Range 1]" displayFolder="" count="2" memberValueDatatype="130" unbalanced="0"/>
    <cacheHierarchy uniqueName="[Range 1].[customer_age]" caption="customer_age" attribute="1" defaultMemberUniqueName="[Range 1].[customer_age].[All]" allUniqueName="[Range 1].[customer_age].[All]" dimensionUniqueName="[Range 1]" displayFolder="" count="2" memberValueDatatype="20" unbalanced="0"/>
    <cacheHierarchy uniqueName="[Range 1].[customer_location_city]" caption="customer_location_city" attribute="1" defaultMemberUniqueName="[Range 1].[customer_location_city].[All]" allUniqueName="[Range 1].[customer_location_city].[All]" dimensionUniqueName="[Range 1]" displayFolder="" count="2"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3"/>
      </fieldsUsage>
    </cacheHierarchy>
    <cacheHierarchy uniqueName="[Range 1].[age_range]" caption="age_range" attribute="1" defaultMemberUniqueName="[Range 1].[age_range].[All]" allUniqueName="[Range 1].[age_range].[All]" dimensionUniqueName="[Range 1]" displayFolder="" count="2" memberValueDatatype="130" unbalanced="0"/>
    <cacheHierarchy uniqueName="[Range 1].[sentiment_score_range]" caption="sentiment_score_range" attribute="1" defaultMemberUniqueName="[Range 1].[sentiment_score_range].[All]" allUniqueName="[Range 1].[sentiment_score_range].[All]" dimensionUniqueName="[Range 1]" displayFolder="" count="2"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2" memberValueDatatype="130" unbalanced="0"/>
    <cacheHierarchy uniqueName="[Range 2].[rating]" caption="rating" attribute="1" defaultMemberUniqueName="[Range 2].[rating].[All]" allUniqueName="[Range 2].[rating].[All]" dimensionUniqueName="[Range 2]" displayFolder="" count="2"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7.060958101851" backgroundQuery="1" createdVersion="8" refreshedVersion="8" minRefreshableVersion="3" recordCount="0" supportSubquery="1" supportAdvancedDrill="1" xr:uid="{7F93125A-9C19-45B4-A339-21287A77CB1E}">
  <cacheSource type="external" connectionId="1"/>
  <cacheFields count="3">
    <cacheField name="[Measures].[Count of review_id]" caption="Count of review_id" numFmtId="0" hierarchy="26" level="32767"/>
    <cacheField name="[Range 1].[customer_location_country].[customer_location_country]" caption="customer_location_country" numFmtId="0" hierarchy="14" level="1">
      <sharedItems count="5">
        <s v="Australia"/>
        <s v="Canada"/>
        <s v="UK"/>
        <s v="unknown"/>
        <s v="USA"/>
      </sharedItems>
    </cacheField>
    <cacheField name="[Range 1].[rating].[rating]" caption="rating" numFmtId="0" hierarchy="7" level="1">
      <sharedItems containsSemiMixedTypes="0" containsNonDate="0" containsString="0"/>
    </cacheField>
  </cacheFields>
  <cacheHierarchies count="32">
    <cacheHierarchy uniqueName="[Range].[customer_id]" caption="customer_id" attribute="1" defaultMemberUniqueName="[Range].[customer_id].[All]" allUniqueName="[Range].[customer_id].[All]" dimensionUniqueName="[Range]" displayFolder="" count="2" memberValueDatatype="130" unbalanced="0"/>
    <cacheHierarchy uniqueName="[Range 1].[review_id]" caption="review_id" attribute="1" defaultMemberUniqueName="[Range 1].[review_id].[All]" allUniqueName="[Range 1].[review_id].[All]" dimensionUniqueName="[Range 1]" displayFolder="" count="2" memberValueDatatype="130" unbalanced="0"/>
    <cacheHierarchy uniqueName="[Range 1].[customer_id]" caption="customer_id" attribute="1" defaultMemberUniqueName="[Range 1].[customer_id].[All]" allUniqueName="[Range 1].[customer_id].[All]" dimensionUniqueName="[Range 1]" displayFolder="" count="2" memberValueDatatype="130" unbalanced="0"/>
    <cacheHierarchy uniqueName="[Range 1].[product_id]" caption="product_id" attribute="1" defaultMemberUniqueName="[Range 1].[product_id].[All]" allUniqueName="[Range 1].[product_id].[All]" dimensionUniqueName="[Range 1]" displayFolder="" count="2" memberValueDatatype="130" unbalanced="0"/>
    <cacheHierarchy uniqueName="[Range 1].[review_date]" caption="review_date" attribute="1" defaultMemberUniqueName="[Range 1].[review_date].[All]" allUniqueName="[Range 1].[review_date].[All]" dimensionUniqueName="[Range 1]" displayFolder="" count="2" memberValueDatatype="130" unbalanced="0"/>
    <cacheHierarchy uniqueName="[Range 1].[review_title]" caption="review_title" attribute="1" defaultMemberUniqueName="[Range 1].[review_title].[All]" allUniqueName="[Range 1].[review_title].[All]" dimensionUniqueName="[Range 1]" displayFolder="" count="2" memberValueDatatype="130" unbalanced="0"/>
    <cacheHierarchy uniqueName="[Range 1].[review_text]" caption="review_text" attribute="1" defaultMemberUniqueName="[Range 1].[review_text].[All]" allUniqueName="[Range 1].[review_text].[All]" dimensionUniqueName="[Range 1]" displayFolder="" count="2" memberValueDatatype="130" unbalanced="0"/>
    <cacheHierarchy uniqueName="[Range 1].[rating]" caption="rating" attribute="1" defaultMemberUniqueName="[Range 1].[rating].[All]" allUniqueName="[Range 1].[rating].[All]" dimensionUniqueName="[Range 1]" displayFolder="" count="2" memberValueDatatype="20" unbalanced="0">
      <fieldsUsage count="2">
        <fieldUsage x="-1"/>
        <fieldUsage x="2"/>
      </fieldsUsage>
    </cacheHierarchy>
    <cacheHierarchy uniqueName="[Range 1].[verified_purchase]" caption="verified_purchase" attribute="1" defaultMemberUniqueName="[Range 1].[verified_purchase].[All]" allUniqueName="[Range 1].[verified_purchase].[All]" dimensionUniqueName="[Range 1]" displayFolder="" count="2" memberValueDatatype="11" unbalanced="0"/>
    <cacheHierarchy uniqueName="[Range 1].[sentiment_label]" caption="sentiment_label" attribute="1" defaultMemberUniqueName="[Range 1].[sentiment_label].[All]" allUniqueName="[Range 1].[sentiment_label].[All]" dimensionUniqueName="[Range 1]" displayFolder="" count="2" memberValueDatatype="130" unbalanced="0"/>
    <cacheHierarchy uniqueName="[Range 1].[sentiment_score]" caption="sentiment_score" attribute="1" defaultMemberUniqueName="[Range 1].[sentiment_score].[All]" allUniqueName="[Range 1].[sentiment_score].[All]" dimensionUniqueName="[Range 1]" displayFolder="" count="2" memberValueDatatype="5" unbalanced="0"/>
    <cacheHierarchy uniqueName="[Range 1].[customer_gender]" caption="customer_gender" attribute="1" defaultMemberUniqueName="[Range 1].[customer_gender].[All]" allUniqueName="[Range 1].[customer_gender].[All]" dimensionUniqueName="[Range 1]" displayFolder="" count="2" memberValueDatatype="130" unbalanced="0"/>
    <cacheHierarchy uniqueName="[Range 1].[customer_age]" caption="customer_age" attribute="1" defaultMemberUniqueName="[Range 1].[customer_age].[All]" allUniqueName="[Range 1].[customer_age].[All]" dimensionUniqueName="[Range 1]" displayFolder="" count="2" memberValueDatatype="20" unbalanced="0"/>
    <cacheHierarchy uniqueName="[Range 1].[customer_location_city]" caption="customer_location_city" attribute="1" defaultMemberUniqueName="[Range 1].[customer_location_city].[All]" allUniqueName="[Range 1].[customer_location_city].[All]" dimensionUniqueName="[Range 1]" displayFolder="" count="2"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fieldsUsage count="2">
        <fieldUsage x="-1"/>
        <fieldUsage x="1"/>
      </fieldsUsage>
    </cacheHierarchy>
    <cacheHierarchy uniqueName="[Range 1].[age_range]" caption="age_range" attribute="1" defaultMemberUniqueName="[Range 1].[age_range].[All]" allUniqueName="[Range 1].[age_range].[All]" dimensionUniqueName="[Range 1]" displayFolder="" count="2" memberValueDatatype="130" unbalanced="0"/>
    <cacheHierarchy uniqueName="[Range 1].[sentiment_score_range]" caption="sentiment_score_range" attribute="1" defaultMemberUniqueName="[Range 1].[sentiment_score_range].[All]" allUniqueName="[Range 1].[sentiment_score_range].[All]" dimensionUniqueName="[Range 1]" displayFolder="" count="2"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2" memberValueDatatype="130" unbalanced="0"/>
    <cacheHierarchy uniqueName="[Range 2].[rating]" caption="rating" attribute="1" defaultMemberUniqueName="[Range 2].[rating].[All]" allUniqueName="[Range 2].[rating].[All]" dimensionUniqueName="[Range 2]" displayFolder="" count="2"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76.966669444446" backgroundQuery="1" createdVersion="3" refreshedVersion="8" minRefreshableVersion="3" recordCount="0" supportSubquery="1" supportAdvancedDrill="1" xr:uid="{B5FB4226-609F-4E2D-AABD-A487475612D7}">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Range].[customer_id]" caption="customer_id" attribute="1" defaultMemberUniqueName="[Range].[customer_id].[All]" allUniqueName="[Range].[customer_id].[All]" dimensionUniqueName="[Range]" displayFolder="" count="0" memberValueDatatype="130" unbalanced="0"/>
    <cacheHierarchy uniqueName="[Range 1].[review_id]" caption="review_id" attribute="1" defaultMemberUniqueName="[Range 1].[review_id].[All]" allUniqueName="[Range 1].[review_id].[All]" dimensionUniqueName="[Range 1]" displayFolder="" count="0" memberValueDatatype="130"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_id]" caption="product_id" attribute="1" defaultMemberUniqueName="[Range 1].[product_id].[All]" allUniqueName="[Range 1].[product_id].[All]" dimensionUniqueName="[Range 1]" displayFolder="" count="0" memberValueDatatype="130" unbalanced="0"/>
    <cacheHierarchy uniqueName="[Range 1].[review_date]" caption="review_date" attribute="1" defaultMemberUniqueName="[Range 1].[review_date].[All]" allUniqueName="[Range 1].[review_date].[All]" dimensionUniqueName="[Range 1]" displayFolder="" count="0" memberValueDatatype="130" unbalanced="0"/>
    <cacheHierarchy uniqueName="[Range 1].[review_title]" caption="review_title" attribute="1" defaultMemberUniqueName="[Range 1].[review_title].[All]" allUniqueName="[Range 1].[review_title].[All]" dimensionUniqueName="[Range 1]" displayFolder="" count="0" memberValueDatatype="130" unbalanced="0"/>
    <cacheHierarchy uniqueName="[Range 1].[review_text]" caption="review_text" attribute="1" defaultMemberUniqueName="[Range 1].[review_text].[All]" allUniqueName="[Range 1].[review_text].[All]" dimensionUniqueName="[Range 1]" displayFolder="" count="0" memberValueDatatype="130" unbalanced="0"/>
    <cacheHierarchy uniqueName="[Range 1].[rating]" caption="rating" attribute="1" defaultMemberUniqueName="[Range 1].[rating].[All]" allUniqueName="[Range 1].[rating].[All]" dimensionUniqueName="[Range 1]" displayFolder="" count="2" memberValueDatatype="20" unbalanced="0"/>
    <cacheHierarchy uniqueName="[Range 1].[verified_purchase]" caption="verified_purchase" attribute="1" defaultMemberUniqueName="[Range 1].[verified_purchase].[All]" allUniqueName="[Range 1].[verified_purchase].[All]" dimensionUniqueName="[Range 1]" displayFolder="" count="0" memberValueDatatype="11" unbalanced="0"/>
    <cacheHierarchy uniqueName="[Range 1].[sentiment_label]" caption="sentiment_label" attribute="1" defaultMemberUniqueName="[Range 1].[sentiment_label].[All]" allUniqueName="[Range 1].[sentiment_label].[All]" dimensionUniqueName="[Range 1]" displayFolder="" count="0" memberValueDatatype="130" unbalanced="0"/>
    <cacheHierarchy uniqueName="[Range 1].[sentiment_score]" caption="sentiment_score" attribute="1" defaultMemberUniqueName="[Range 1].[sentiment_score].[All]" allUniqueName="[Range 1].[sentiment_score].[All]" dimensionUniqueName="[Range 1]" displayFolder="" count="0" memberValueDatatype="5" unbalanced="0"/>
    <cacheHierarchy uniqueName="[Range 1].[customer_gender]" caption="customer_gender" attribute="1" defaultMemberUniqueName="[Range 1].[customer_gender].[All]" allUniqueName="[Range 1].[customer_gender].[All]" dimensionUniqueName="[Range 1]" displayFolder="" count="0" memberValueDatatype="130" unbalanced="0"/>
    <cacheHierarchy uniqueName="[Range 1].[customer_age]" caption="customer_age" attribute="1" defaultMemberUniqueName="[Range 1].[customer_age].[All]" allUniqueName="[Range 1].[customer_age].[All]" dimensionUniqueName="[Range 1]" displayFolder="" count="0" memberValueDatatype="20" unbalanced="0"/>
    <cacheHierarchy uniqueName="[Range 1].[customer_location_city]" caption="customer_location_city" attribute="1" defaultMemberUniqueName="[Range 1].[customer_location_city].[All]" allUniqueName="[Range 1].[customer_location_city].[All]" dimensionUniqueName="[Range 1]" displayFolder="" count="0" memberValueDatatype="130" unbalanced="0"/>
    <cacheHierarchy uniqueName="[Range 1].[customer_location_country]" caption="customer_location_country" attribute="1" defaultMemberUniqueName="[Range 1].[customer_location_country].[All]" allUniqueName="[Range 1].[customer_location_country].[All]" dimensionUniqueName="[Range 1]" displayFolder="" count="2" memberValueDatatype="130" unbalanced="0"/>
    <cacheHierarchy uniqueName="[Range 1].[age_range]" caption="age_range" attribute="1" defaultMemberUniqueName="[Range 1].[age_range].[All]" allUniqueName="[Range 1].[age_range].[All]" dimensionUniqueName="[Range 1]" displayFolder="" count="0" memberValueDatatype="130" unbalanced="0"/>
    <cacheHierarchy uniqueName="[Range 1].[sentiment_score_range]" caption="sentiment_score_range" attribute="1" defaultMemberUniqueName="[Range 1].[sentiment_score_range].[All]" allUniqueName="[Range 1].[sentiment_score_range].[All]" dimensionUniqueName="[Range 1]" displayFolder="" count="0" memberValueDatatype="130" unbalanced="0"/>
    <cacheHierarchy uniqueName="[Range 1].[review_date_month]" caption="review_date_month" attribute="1" defaultMemberUniqueName="[Range 1].[review_date_month].[All]" allUniqueName="[Range 1].[review_date_month].[All]" dimensionUniqueName="[Range 1]" displayFolder="" count="2" memberValueDatatype="130" unbalanced="0"/>
    <cacheHierarchy uniqueName="[Range 1].[review_date_year]" caption="review_date_year" attribute="1" defaultMemberUniqueName="[Range 1].[review_date_year].[All]" allUniqueName="[Range 1].[review_date_year].[All]" dimensionUniqueName="[Range 1]" displayFolder="" count="0" memberValueDatatype="130" unbalanced="0"/>
    <cacheHierarchy uniqueName="[Range 2].[rating]" caption="rating" attribute="1" defaultMemberUniqueName="[Range 2].[rating].[All]" allUniqueName="[Range 2].[rating].[All]" dimensionUniqueName="[Range 2]" displayFolder="" count="0" memberValueDatatype="20" unbalanced="0"/>
    <cacheHierarchy uniqueName="[Measures].[__XL_Count Range 2]" caption="__XL_Count Range 2" measure="1" displayFolder="" measureGroup="Range 2"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ating]" caption="Sum of rating" measure="1" displayFolder="" measureGroup="Range 2" count="0" hidden="1">
      <extLst>
        <ext xmlns:x15="http://schemas.microsoft.com/office/spreadsheetml/2010/11/main" uri="{B97F6D7D-B522-45F9-BDA1-12C45D357490}">
          <x15:cacheHierarchy aggregatedColumn="19"/>
        </ext>
      </extLst>
    </cacheHierarchy>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Count of review_id]" caption="Count of review_id" measure="1" displayFolder="" measureGroup="Range 1"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Range 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Distinct Count of product_id]" caption="Distinct Count of product_id" measure="1" displayFolder="" measureGroup="Range 1" count="0" hidden="1">
      <extLst>
        <ext xmlns:x15="http://schemas.microsoft.com/office/spreadsheetml/2010/11/main" uri="{B97F6D7D-B522-45F9-BDA1-12C45D357490}">
          <x15:cacheHierarchy aggregatedColumn="3"/>
        </ext>
      </extLst>
    </cacheHierarchy>
    <cacheHierarchy uniqueName="[Measures].[Sum of rating 2]" caption="Sum of rating 2" measure="1" displayFolder="" measureGroup="Range 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7007312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AF6E86-319F-4943-8D2F-CCD8F6DE09C7}" name="PivotTable18" cacheId="47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G4:H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review_id"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44F97F-D0D1-4938-80A0-390751315AD7}" name="PivotTable17" cacheId="47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E4:F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review_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599F09-F212-4232-887D-23CCF7671AA6}" name="PivotTable16" cacheId="47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C4:D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view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7C668C-D94A-4D59-A1C7-BAF2C79C5B22}" name="PivotTable15" cacheId="47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4:B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review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82192C-8F26-47BA-A7DD-7741069ADE19}" name="PivotTable37" cacheId="46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M2:N14" firstHeaderRow="1" firstDataRow="1" firstDataCol="1"/>
  <pivotFields count="2">
    <pivotField axis="axisRow" allDrilled="1" subtotalTop="0" showAll="0" sortType="ascending" defaultSubtotal="0" defaultAttributeDrillState="1">
      <items count="11">
        <item x="4"/>
        <item x="3"/>
        <item x="7"/>
        <item x="0"/>
        <item x="8"/>
        <item x="6"/>
        <item x="5"/>
        <item x="1"/>
        <item x="10"/>
        <item x="9"/>
        <item x="2"/>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Count of review_id"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9997C2-F74F-44D3-9EC9-A1FE10F4C9D3}" name="PivotTable34" cacheId="48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M22:N29"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3"/>
    </i>
    <i>
      <x v="5"/>
    </i>
    <i>
      <x v="4"/>
    </i>
    <i>
      <x v="1"/>
    </i>
    <i>
      <x/>
    </i>
    <i>
      <x v="2"/>
    </i>
    <i t="grand">
      <x/>
    </i>
  </rowItems>
  <colItems count="1">
    <i/>
  </colItems>
  <pageFields count="1">
    <pageField fld="1" hier="7" name="[Range 1].[rating].[All]" cap="All"/>
  </pageFields>
  <dataFields count="1">
    <dataField name="Count of review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26">
      <autoFilter ref="A1">
        <filterColumn colId="0">
          <top10 val="6" filterVal="6"/>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813E0E-5A8A-4BD5-B73D-7545A0638B62}" name="PivotTable33" cacheId="48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K22:L28" firstHeaderRow="1" firstDataRow="1" firstDataCol="1" rowPageCount="1" colPageCount="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s>
  <rowFields count="1">
    <field x="1"/>
  </rowFields>
  <rowItems count="6">
    <i>
      <x v="4"/>
    </i>
    <i>
      <x v="3"/>
    </i>
    <i>
      <x v="1"/>
    </i>
    <i>
      <x/>
    </i>
    <i>
      <x v="2"/>
    </i>
    <i t="grand">
      <x/>
    </i>
  </rowItems>
  <colItems count="1">
    <i/>
  </colItems>
  <pageFields count="1">
    <pageField fld="2" hier="7" name="[Range 1].[rating].[All]" cap="All"/>
  </pageFields>
  <dataFields count="1">
    <dataField name="Count of review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26">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10E8B1-A2F1-411C-9E8C-90340CAA9B29}" name="PivotTable29" cacheId="48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I22:J28" firstHeaderRow="1" firstDataRow="1" firstDataCol="1" rowPageCount="1" colPageCount="1"/>
  <pivotFields count="4">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v="2"/>
    </i>
    <i>
      <x v="3"/>
    </i>
    <i>
      <x v="4"/>
    </i>
    <i>
      <x v="1"/>
    </i>
    <i>
      <x/>
    </i>
    <i t="grand">
      <x/>
    </i>
  </rowItems>
  <colItems count="1">
    <i/>
  </colItems>
  <pageFields count="1">
    <pageField fld="2" hier="7" name="[Range 1].[rating].[All]" cap="All"/>
  </pageFields>
  <dataFields count="1">
    <dataField name="Count of review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3" iMeasureHier="26">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D8D24A-8F80-48E9-8554-88F8F0D70475}" name="PivotTable25" cacheId="47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20:B42" firstHeaderRow="1" firstDataRow="1" firstDataCol="1"/>
  <pivotFields count="2">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review_id"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AC4417-EC2F-4EB2-A830-4E54B96958C0}" name="PivotTable24" cacheId="48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I12:L19" firstHeaderRow="1" firstDataRow="2"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3">
    <i>
      <x/>
    </i>
    <i>
      <x v="1"/>
    </i>
    <i t="grand">
      <x/>
    </i>
  </colItems>
  <dataFields count="1">
    <dataField name="Count of review_id" fld="0"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D38426-6834-42FB-B88D-C6EB6655D77E}" name="PivotTable23" cacheId="48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G12:H1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review_id"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62AD2B-1E37-4957-84C1-79EE5F8601D0}" name="PivotTable21" cacheId="47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2:B1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review_id"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0F925F-4C87-4D95-9FB6-7FFD0B97A436}" name="PivotTable20" cacheId="47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D12:E1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review_i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5340133-047D-437F-870F-D2D7F7688B30}" name="PivotTable19" cacheId="47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J4:K1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review_id" fld="0"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0A2D945-F241-466A-B3D0-7D10D74593E7}" name="PivotTable14" cacheId="47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roduct_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product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4463B89-DD51-4875-BBEC-DACC1B536F72}" name="PivotTable13" cacheId="47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CD6D66D-DE33-4E95-A8C2-E9D3203EAC98}" name="PivotTable12" cacheId="47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view_id"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R$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_country1" xr10:uid="{7F2D28A4-9621-48A1-ACD7-DEDACC18A157}" sourceName="[Range 1].[customer_location_country]">
  <pivotTables>
    <pivotTable tabId="5" name="PivotTable25"/>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0"/>
    <pivotTable tabId="5" name="PivotTable21"/>
    <pivotTable tabId="5" name="PivotTable23"/>
    <pivotTable tabId="5" name="PivotTable24"/>
    <pivotTable tabId="5" name="PivotTable29"/>
    <pivotTable tabId="5" name="PivotTable33"/>
    <pivotTable tabId="5" name="PivotTable34"/>
  </pivotTables>
  <data>
    <olap pivotCacheId="1700731294">
      <levels count="2">
        <level uniqueName="[Range 1].[customer_location_country].[(All)]" sourceCaption="(All)" count="0"/>
        <level uniqueName="[Range 1].[customer_location_country].[customer_location_country]" sourceCaption="customer_location_country" count="21">
          <ranges>
            <range startItem="0">
              <i n="[Range 1].[customer_location_country].&amp;[Australia]" c="Australia"/>
              <i n="[Range 1].[customer_location_country].&amp;[Belgium]" c="Belgium"/>
              <i n="[Range 1].[customer_location_country].&amp;[Canada]" c="Canada"/>
              <i n="[Range 1].[customer_location_country].&amp;[Czechia]" c="Czechia"/>
              <i n="[Range 1].[customer_location_country].&amp;[Denmark]" c="Denmark"/>
              <i n="[Range 1].[customer_location_country].&amp;[France]" c="France"/>
              <i n="[Range 1].[customer_location_country].&amp;[Germany]" c="Germany"/>
              <i n="[Range 1].[customer_location_country].&amp;[Ireland]" c="Ireland"/>
              <i n="[Range 1].[customer_location_country].&amp;[Italy]" c="Italy"/>
              <i n="[Range 1].[customer_location_country].&amp;[Japan]" c="Japan"/>
              <i n="[Range 1].[customer_location_country].&amp;[Netherlands]" c="Netherlands"/>
              <i n="[Range 1].[customer_location_country].&amp;[New Zealand]" c="New Zealand"/>
              <i n="[Range 1].[customer_location_country].&amp;[Norway]" c="Norway"/>
              <i n="[Range 1].[customer_location_country].&amp;[Poland]" c="Poland"/>
              <i n="[Range 1].[customer_location_country].&amp;[Portugal]" c="Portugal"/>
              <i n="[Range 1].[customer_location_country].&amp;[Spain]" c="Spain"/>
              <i n="[Range 1].[customer_location_country].&amp;[Sweden]" c="Sweden"/>
              <i n="[Range 1].[customer_location_country].&amp;[Switzerland]" c="Switzerland"/>
              <i n="[Range 1].[customer_location_country].&amp;[UK]" c="UK"/>
              <i n="[Range 1].[customer_location_country].&amp;[unknown]" c="unknown"/>
              <i n="[Range 1].[customer_location_country].&amp;[USA]" c="USA"/>
            </range>
          </ranges>
        </level>
      </levels>
      <selections count="1">
        <selection n="[Range 1].[customer_location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 xr10:uid="{9D7ACAA1-5171-4EDA-953B-C95335C5CD7B}" sourceName="[Range 1].[rating]">
  <pivotTables>
    <pivotTable tabId="5" name="PivotTable25"/>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0"/>
    <pivotTable tabId="5" name="PivotTable21"/>
    <pivotTable tabId="5" name="PivotTable23"/>
    <pivotTable tabId="5" name="PivotTable24"/>
    <pivotTable tabId="5" name="PivotTable29"/>
    <pivotTable tabId="5" name="PivotTable33"/>
    <pivotTable tabId="5" name="PivotTable34"/>
  </pivotTables>
  <data>
    <olap pivotCacheId="1700731294">
      <levels count="2">
        <level uniqueName="[Range 1].[rating].[(All)]" sourceCaption="(All)" count="0"/>
        <level uniqueName="[Range 1].[rating].[rating]" sourceCaption="rating" count="5">
          <ranges>
            <range startItem="0">
              <i n="[Range 1].[rating].&amp;[1]" c="1"/>
              <i n="[Range 1].[rating].&amp;[2]" c="2"/>
              <i n="[Range 1].[rating].&amp;[3]" c="3"/>
              <i n="[Range 1].[rating].&amp;[4]" c="4"/>
              <i n="[Range 1].[rating].&amp;[5]" c="5"/>
            </range>
          </ranges>
        </level>
      </levels>
      <selections count="1">
        <selection n="[Range 1].[rat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date_month" xr10:uid="{932839ED-02FA-43F8-A32E-307319294A53}" sourceName="[Range 1].[review_date_month]">
  <pivotTables>
    <pivotTable tabId="5" name="PivotTable37"/>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0"/>
    <pivotTable tabId="5" name="PivotTable21"/>
    <pivotTable tabId="5" name="PivotTable23"/>
    <pivotTable tabId="5" name="PivotTable24"/>
    <pivotTable tabId="5" name="PivotTable25"/>
    <pivotTable tabId="5" name="PivotTable29"/>
    <pivotTable tabId="5" name="PivotTable33"/>
    <pivotTable tabId="5" name="PivotTable34"/>
  </pivotTables>
  <data>
    <olap pivotCacheId="1700731294">
      <levels count="2">
        <level uniqueName="[Range 1].[review_date_month].[(All)]" sourceCaption="(All)" count="0"/>
        <level uniqueName="[Range 1].[review_date_month].[review_date_month]" sourceCaption="review_date_month" count="11">
          <ranges>
            <range startItem="0">
              <i n="[Range 1].[review_date_month].&amp;[Apr]" c="Apr"/>
              <i n="[Range 1].[review_date_month].&amp;[Aug]" c="Aug"/>
              <i n="[Range 1].[review_date_month].&amp;[Dec]" c="Dec"/>
              <i n="[Range 1].[review_date_month].&amp;[Feb]" c="Feb"/>
              <i n="[Range 1].[review_date_month].&amp;[Jan]" c="Jan"/>
              <i n="[Range 1].[review_date_month].&amp;[Jul]" c="Jul"/>
              <i n="[Range 1].[review_date_month].&amp;[Jun]" c="Jun"/>
              <i n="[Range 1].[review_date_month].&amp;[Mar]" c="Mar"/>
              <i n="[Range 1].[review_date_month].&amp;[May]" c="May"/>
              <i n="[Range 1].[review_date_month].&amp;[Oct]" c="Oct"/>
              <i n="[Range 1].[review_date_month].&amp;[Sep]" c="Sep"/>
            </range>
          </ranges>
        </level>
      </levels>
      <selections count="1">
        <selection n="[Range 1].[review_date_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location_country 2" xr10:uid="{DE898A86-BB23-42F4-94B0-C51754CA6308}" cache="Slicer_customer_location_country1" caption="customer_location_country" startItem="5" level="1" rowHeight="247650"/>
  <slicer name="rating 2" xr10:uid="{2561E20E-C9E2-44C2-AEE2-C0995D8D5808}" cache="Slicer_rating1" caption="rating" level="1" rowHeight="247650"/>
  <slicer name="review_date_month" xr10:uid="{C2DB3DE0-0BFB-4FB2-8852-55D3ADB1B0AE}" cache="Slicer_review_date_month" caption="review_date_month" startItem="6"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R201"/>
  <sheetViews>
    <sheetView zoomScaleNormal="100" workbookViewId="0">
      <selection activeCell="A7" sqref="A7"/>
    </sheetView>
  </sheetViews>
  <sheetFormatPr defaultRowHeight="14.4" x14ac:dyDescent="0.3"/>
  <cols>
    <col min="1" max="1" width="14.33203125" style="1" customWidth="1"/>
    <col min="2" max="2" width="15.6640625" style="1" customWidth="1"/>
    <col min="3" max="3" width="14.33203125" style="1" customWidth="1"/>
    <col min="4" max="4" width="16" style="2" customWidth="1"/>
    <col min="5" max="5" width="38.88671875" style="1" customWidth="1"/>
    <col min="6" max="6" width="44.6640625" style="1" customWidth="1"/>
    <col min="7" max="7" width="10.21875" style="1" customWidth="1"/>
    <col min="8" max="8" width="17.77734375" style="1" customWidth="1"/>
    <col min="9" max="10" width="20.6640625" style="1" customWidth="1"/>
    <col min="11" max="11" width="17.77734375" style="1" customWidth="1"/>
    <col min="12" max="12" width="17.44140625" style="1" customWidth="1"/>
    <col min="13" max="13" width="24.77734375" style="1" customWidth="1"/>
    <col min="14" max="14" width="29.109375" style="1" customWidth="1"/>
    <col min="15" max="15" width="16.88671875" style="1" customWidth="1"/>
    <col min="16" max="16" width="25.109375" style="1" customWidth="1"/>
    <col min="17" max="17" width="18" style="1" customWidth="1"/>
    <col min="18" max="18" width="15.6640625" style="1" customWidth="1"/>
    <col min="19" max="16384" width="8.88671875" style="1"/>
  </cols>
  <sheetData>
    <row r="1" spans="1:18" ht="14.4" customHeight="1" x14ac:dyDescent="0.3">
      <c r="A1" s="9" t="s">
        <v>0</v>
      </c>
      <c r="B1" s="9" t="s">
        <v>1</v>
      </c>
      <c r="C1" s="9" t="s">
        <v>2</v>
      </c>
      <c r="D1" s="10" t="s">
        <v>3</v>
      </c>
      <c r="E1" s="9" t="s">
        <v>4</v>
      </c>
      <c r="F1" s="9" t="s">
        <v>5</v>
      </c>
      <c r="G1" s="9" t="s">
        <v>6</v>
      </c>
      <c r="H1" s="9" t="s">
        <v>7</v>
      </c>
      <c r="I1" s="9" t="s">
        <v>8</v>
      </c>
      <c r="J1" s="9" t="s">
        <v>9</v>
      </c>
      <c r="K1" s="9" t="s">
        <v>10</v>
      </c>
      <c r="L1" s="9" t="s">
        <v>11</v>
      </c>
      <c r="M1" s="9" t="s">
        <v>12</v>
      </c>
      <c r="N1" s="9" t="s">
        <v>13</v>
      </c>
      <c r="O1" s="9" t="s">
        <v>912</v>
      </c>
      <c r="P1" s="9" t="s">
        <v>913</v>
      </c>
      <c r="Q1" s="10" t="s">
        <v>914</v>
      </c>
      <c r="R1" s="10" t="s">
        <v>915</v>
      </c>
    </row>
    <row r="2" spans="1:18" x14ac:dyDescent="0.3">
      <c r="A2" s="7" t="s">
        <v>14</v>
      </c>
      <c r="B2" s="7" t="s">
        <v>852</v>
      </c>
      <c r="C2" s="7" t="s">
        <v>15</v>
      </c>
      <c r="D2" s="8" t="s">
        <v>16</v>
      </c>
      <c r="E2" s="7" t="s">
        <v>17</v>
      </c>
      <c r="F2" s="7" t="s">
        <v>18</v>
      </c>
      <c r="G2" s="7">
        <v>5</v>
      </c>
      <c r="H2" s="7" t="b">
        <v>1</v>
      </c>
      <c r="I2" s="7" t="s">
        <v>19</v>
      </c>
      <c r="J2" s="7">
        <v>0.92</v>
      </c>
      <c r="K2" s="7" t="s">
        <v>20</v>
      </c>
      <c r="L2" s="7">
        <v>32</v>
      </c>
      <c r="M2" s="7" t="s">
        <v>935</v>
      </c>
      <c r="N2" s="7" t="s">
        <v>281</v>
      </c>
      <c r="O2" s="7" t="str">
        <f>IF(L2&lt;=25,"17–25",IF(L2&lt;=33,"26–33",IF(L2&lt;=45,"34–45",IF(L2&lt;=55,"46–55","56-66"))))</f>
        <v>26–33</v>
      </c>
      <c r="P2" s="7" t="str">
        <f>IF(J2&lt;0.25,"&gt;0.25",IF(J2&lt;0.5,"0.25&gt;0.5",IF(J2&lt;0.75,"0.5&gt;0.75","0.75&gt;1")))</f>
        <v>0.75&gt;1</v>
      </c>
      <c r="Q2" s="7" t="str">
        <f>TEXT(D2,"MMM")</f>
        <v>Apr</v>
      </c>
      <c r="R2" s="7" t="str">
        <f>TEXT(D2,"YYY")</f>
        <v>2023</v>
      </c>
    </row>
    <row r="3" spans="1:18" x14ac:dyDescent="0.3">
      <c r="A3" s="7" t="s">
        <v>21</v>
      </c>
      <c r="B3" s="7" t="s">
        <v>853</v>
      </c>
      <c r="C3" s="7" t="s">
        <v>22</v>
      </c>
      <c r="D3" s="8" t="s">
        <v>23</v>
      </c>
      <c r="E3" s="7" t="s">
        <v>24</v>
      </c>
      <c r="F3" s="7" t="s">
        <v>25</v>
      </c>
      <c r="G3" s="7">
        <v>1</v>
      </c>
      <c r="H3" s="7" t="b">
        <v>1</v>
      </c>
      <c r="I3" s="7" t="s">
        <v>26</v>
      </c>
      <c r="J3" s="7">
        <v>-0.83</v>
      </c>
      <c r="K3" s="7" t="s">
        <v>27</v>
      </c>
      <c r="L3" s="7">
        <v>45</v>
      </c>
      <c r="M3" s="7" t="s">
        <v>28</v>
      </c>
      <c r="N3" s="7" t="s">
        <v>281</v>
      </c>
      <c r="O3" s="7" t="str">
        <f t="shared" ref="O3:O66" si="0">IF(L3&lt;=25,"17–25",IF(L3&lt;=33,"26–33",IF(L3&lt;=45,"34–45",IF(L3&lt;=55,"46–55","56-66"))))</f>
        <v>34–45</v>
      </c>
      <c r="P3" s="7" t="str">
        <f t="shared" ref="P3:P66" si="1">IF(J3&lt;0.25,"&gt;0.25",IF(J3&lt;0.5,"0.25&gt;0.5",IF(J3&lt;0.75,"0.5&gt;0.75","0.75&gt;1")))</f>
        <v>&gt;0.25</v>
      </c>
      <c r="Q3" s="7" t="str">
        <f t="shared" ref="Q3:Q66" si="2">TEXT(D3,"MMM")</f>
        <v>May</v>
      </c>
      <c r="R3" s="7" t="str">
        <f t="shared" ref="R3:R66" si="3">TEXT(D3,"YYY")</f>
        <v>2023</v>
      </c>
    </row>
    <row r="4" spans="1:18" x14ac:dyDescent="0.3">
      <c r="A4" s="7" t="s">
        <v>29</v>
      </c>
      <c r="B4" s="7" t="s">
        <v>30</v>
      </c>
      <c r="C4" s="7" t="s">
        <v>31</v>
      </c>
      <c r="D4" s="8" t="s">
        <v>32</v>
      </c>
      <c r="E4" s="7" t="s">
        <v>33</v>
      </c>
      <c r="F4" s="7" t="s">
        <v>34</v>
      </c>
      <c r="G4" s="7">
        <v>3</v>
      </c>
      <c r="H4" s="7" t="b">
        <v>0</v>
      </c>
      <c r="I4" s="7" t="s">
        <v>35</v>
      </c>
      <c r="J4" s="7">
        <v>0.02</v>
      </c>
      <c r="K4" s="7" t="s">
        <v>848</v>
      </c>
      <c r="L4" s="7">
        <v>37</v>
      </c>
      <c r="M4" s="7" t="s">
        <v>36</v>
      </c>
      <c r="N4" s="7" t="s">
        <v>309</v>
      </c>
      <c r="O4" s="7" t="str">
        <f t="shared" si="0"/>
        <v>34–45</v>
      </c>
      <c r="P4" s="7" t="str">
        <f t="shared" si="1"/>
        <v>&gt;0.25</v>
      </c>
      <c r="Q4" s="7" t="str">
        <f t="shared" si="2"/>
        <v>Jul</v>
      </c>
      <c r="R4" s="7" t="str">
        <f t="shared" si="3"/>
        <v>2023</v>
      </c>
    </row>
    <row r="5" spans="1:18" x14ac:dyDescent="0.3">
      <c r="A5" s="7" t="s">
        <v>37</v>
      </c>
      <c r="B5" s="7" t="s">
        <v>854</v>
      </c>
      <c r="C5" s="7" t="s">
        <v>38</v>
      </c>
      <c r="D5" s="8" t="s">
        <v>39</v>
      </c>
      <c r="E5" s="7" t="s">
        <v>40</v>
      </c>
      <c r="F5" s="7" t="s">
        <v>41</v>
      </c>
      <c r="G5" s="7">
        <v>4</v>
      </c>
      <c r="H5" s="7" t="b">
        <v>1</v>
      </c>
      <c r="I5" s="7" t="s">
        <v>19</v>
      </c>
      <c r="J5" s="7">
        <v>0.74</v>
      </c>
      <c r="K5" s="7" t="s">
        <v>27</v>
      </c>
      <c r="L5" s="7">
        <v>28</v>
      </c>
      <c r="M5" s="7" t="s">
        <v>42</v>
      </c>
      <c r="N5" s="7" t="s">
        <v>43</v>
      </c>
      <c r="O5" s="7" t="str">
        <f t="shared" si="0"/>
        <v>26–33</v>
      </c>
      <c r="P5" s="7" t="str">
        <f t="shared" si="1"/>
        <v>0.5&gt;0.75</v>
      </c>
      <c r="Q5" s="7" t="str">
        <f t="shared" si="2"/>
        <v>Mar</v>
      </c>
      <c r="R5" s="7" t="str">
        <f t="shared" si="3"/>
        <v>2023</v>
      </c>
    </row>
    <row r="6" spans="1:18" x14ac:dyDescent="0.3">
      <c r="A6" s="7" t="s">
        <v>44</v>
      </c>
      <c r="B6" s="7" t="s">
        <v>45</v>
      </c>
      <c r="C6" s="7" t="s">
        <v>46</v>
      </c>
      <c r="D6" s="8" t="s">
        <v>47</v>
      </c>
      <c r="E6" s="7" t="s">
        <v>48</v>
      </c>
      <c r="F6" s="7" t="s">
        <v>49</v>
      </c>
      <c r="G6" s="7">
        <v>5</v>
      </c>
      <c r="H6" s="7" t="b">
        <v>1</v>
      </c>
      <c r="I6" s="7" t="s">
        <v>19</v>
      </c>
      <c r="J6" s="7">
        <v>0.88</v>
      </c>
      <c r="K6" s="7" t="s">
        <v>20</v>
      </c>
      <c r="L6" s="7">
        <v>54</v>
      </c>
      <c r="M6" s="7" t="s">
        <v>50</v>
      </c>
      <c r="N6" s="7" t="s">
        <v>293</v>
      </c>
      <c r="O6" s="7" t="str">
        <f t="shared" si="0"/>
        <v>46–55</v>
      </c>
      <c r="P6" s="7" t="str">
        <f t="shared" si="1"/>
        <v>0.75&gt;1</v>
      </c>
      <c r="Q6" s="7" t="str">
        <f t="shared" si="2"/>
        <v>Jun</v>
      </c>
      <c r="R6" s="7" t="str">
        <f t="shared" si="3"/>
        <v>2023</v>
      </c>
    </row>
    <row r="7" spans="1:18" x14ac:dyDescent="0.3">
      <c r="A7" s="7" t="s">
        <v>51</v>
      </c>
      <c r="B7" s="7" t="s">
        <v>52</v>
      </c>
      <c r="C7" s="7" t="s">
        <v>31</v>
      </c>
      <c r="D7" s="8" t="s">
        <v>53</v>
      </c>
      <c r="E7" s="7" t="s">
        <v>54</v>
      </c>
      <c r="F7" s="7" t="s">
        <v>55</v>
      </c>
      <c r="G7" s="7">
        <v>2</v>
      </c>
      <c r="H7" s="7" t="b">
        <v>0</v>
      </c>
      <c r="I7" s="7" t="s">
        <v>26</v>
      </c>
      <c r="J7" s="7">
        <v>-0.69</v>
      </c>
      <c r="K7" s="7" t="s">
        <v>20</v>
      </c>
      <c r="L7" s="7">
        <v>29</v>
      </c>
      <c r="M7" s="7" t="s">
        <v>56</v>
      </c>
      <c r="N7" s="7" t="s">
        <v>299</v>
      </c>
      <c r="O7" s="7" t="str">
        <f t="shared" si="0"/>
        <v>26–33</v>
      </c>
      <c r="P7" s="7" t="str">
        <f t="shared" si="1"/>
        <v>&gt;0.25</v>
      </c>
      <c r="Q7" s="7" t="str">
        <f t="shared" si="2"/>
        <v>Apr</v>
      </c>
      <c r="R7" s="7" t="str">
        <f t="shared" si="3"/>
        <v>2023</v>
      </c>
    </row>
    <row r="8" spans="1:18" x14ac:dyDescent="0.3">
      <c r="A8" s="7" t="s">
        <v>57</v>
      </c>
      <c r="B8" s="7" t="s">
        <v>855</v>
      </c>
      <c r="C8" s="7" t="s">
        <v>58</v>
      </c>
      <c r="D8" s="8" t="s">
        <v>59</v>
      </c>
      <c r="E8" s="7" t="s">
        <v>60</v>
      </c>
      <c r="F8" s="7" t="s">
        <v>61</v>
      </c>
      <c r="G8" s="7">
        <v>5</v>
      </c>
      <c r="H8" s="7" t="b">
        <v>1</v>
      </c>
      <c r="I8" s="7" t="s">
        <v>19</v>
      </c>
      <c r="J8" s="7">
        <v>0.95</v>
      </c>
      <c r="K8" s="7" t="s">
        <v>27</v>
      </c>
      <c r="L8" s="7">
        <v>40</v>
      </c>
      <c r="M8" s="7" t="s">
        <v>62</v>
      </c>
      <c r="N8" s="7" t="s">
        <v>281</v>
      </c>
      <c r="O8" s="7" t="str">
        <f t="shared" si="0"/>
        <v>34–45</v>
      </c>
      <c r="P8" s="7" t="str">
        <f t="shared" si="1"/>
        <v>0.75&gt;1</v>
      </c>
      <c r="Q8" s="7" t="str">
        <f t="shared" si="2"/>
        <v>Jul</v>
      </c>
      <c r="R8" s="7" t="str">
        <f t="shared" si="3"/>
        <v>2023</v>
      </c>
    </row>
    <row r="9" spans="1:18" x14ac:dyDescent="0.3">
      <c r="A9" s="7" t="s">
        <v>63</v>
      </c>
      <c r="B9" s="7" t="s">
        <v>856</v>
      </c>
      <c r="C9" s="7" t="s">
        <v>64</v>
      </c>
      <c r="D9" s="8" t="s">
        <v>65</v>
      </c>
      <c r="E9" s="7" t="s">
        <v>66</v>
      </c>
      <c r="F9" s="7" t="s">
        <v>67</v>
      </c>
      <c r="G9" s="7">
        <v>2</v>
      </c>
      <c r="H9" s="7" t="b">
        <v>0</v>
      </c>
      <c r="I9" s="7" t="s">
        <v>26</v>
      </c>
      <c r="J9" s="7">
        <v>-0.55000000000000004</v>
      </c>
      <c r="K9" s="7" t="s">
        <v>20</v>
      </c>
      <c r="L9" s="7">
        <v>33</v>
      </c>
      <c r="M9" s="7" t="s">
        <v>68</v>
      </c>
      <c r="N9" s="7" t="s">
        <v>281</v>
      </c>
      <c r="O9" s="7" t="str">
        <f t="shared" si="0"/>
        <v>26–33</v>
      </c>
      <c r="P9" s="7" t="str">
        <f t="shared" si="1"/>
        <v>&gt;0.25</v>
      </c>
      <c r="Q9" s="7" t="str">
        <f t="shared" si="2"/>
        <v>Aug</v>
      </c>
      <c r="R9" s="7" t="str">
        <f t="shared" si="3"/>
        <v>2023</v>
      </c>
    </row>
    <row r="10" spans="1:18" x14ac:dyDescent="0.3">
      <c r="A10" s="7" t="s">
        <v>69</v>
      </c>
      <c r="B10" s="7" t="s">
        <v>70</v>
      </c>
      <c r="C10" s="7" t="s">
        <v>71</v>
      </c>
      <c r="D10" s="8" t="s">
        <v>72</v>
      </c>
      <c r="E10" s="7" t="s">
        <v>73</v>
      </c>
      <c r="F10" s="7" t="s">
        <v>74</v>
      </c>
      <c r="G10" s="7">
        <v>4</v>
      </c>
      <c r="H10" s="7" t="b">
        <v>1</v>
      </c>
      <c r="I10" s="7" t="s">
        <v>19</v>
      </c>
      <c r="J10" s="7">
        <v>0.73</v>
      </c>
      <c r="K10" s="7" t="s">
        <v>27</v>
      </c>
      <c r="L10" s="7">
        <v>22</v>
      </c>
      <c r="M10" s="7" t="s">
        <v>75</v>
      </c>
      <c r="N10" s="7" t="s">
        <v>274</v>
      </c>
      <c r="O10" s="7" t="str">
        <f t="shared" si="0"/>
        <v>17–25</v>
      </c>
      <c r="P10" s="7" t="str">
        <f t="shared" si="1"/>
        <v>0.5&gt;0.75</v>
      </c>
      <c r="Q10" s="7" t="str">
        <f t="shared" si="2"/>
        <v>May</v>
      </c>
      <c r="R10" s="7" t="str">
        <f t="shared" si="3"/>
        <v>2023</v>
      </c>
    </row>
    <row r="11" spans="1:18" x14ac:dyDescent="0.3">
      <c r="A11" s="7" t="s">
        <v>76</v>
      </c>
      <c r="B11" s="7" t="s">
        <v>77</v>
      </c>
      <c r="C11" s="7" t="s">
        <v>15</v>
      </c>
      <c r="D11" s="8" t="s">
        <v>78</v>
      </c>
      <c r="E11" s="7" t="s">
        <v>79</v>
      </c>
      <c r="F11" s="7" t="s">
        <v>80</v>
      </c>
      <c r="G11" s="7">
        <v>3</v>
      </c>
      <c r="H11" s="7" t="b">
        <v>1</v>
      </c>
      <c r="I11" s="7" t="s">
        <v>35</v>
      </c>
      <c r="J11" s="7">
        <v>0.05</v>
      </c>
      <c r="K11" s="7" t="s">
        <v>848</v>
      </c>
      <c r="L11" s="7">
        <v>19</v>
      </c>
      <c r="M11" s="7" t="s">
        <v>81</v>
      </c>
      <c r="N11" s="7" t="s">
        <v>328</v>
      </c>
      <c r="O11" s="7" t="str">
        <f t="shared" si="0"/>
        <v>17–25</v>
      </c>
      <c r="P11" s="7" t="str">
        <f t="shared" si="1"/>
        <v>&gt;0.25</v>
      </c>
      <c r="Q11" s="7" t="str">
        <f t="shared" si="2"/>
        <v>Mar</v>
      </c>
      <c r="R11" s="7" t="str">
        <f t="shared" si="3"/>
        <v>2023</v>
      </c>
    </row>
    <row r="12" spans="1:18" x14ac:dyDescent="0.3">
      <c r="A12" s="7" t="s">
        <v>82</v>
      </c>
      <c r="B12" s="7" t="s">
        <v>853</v>
      </c>
      <c r="C12" s="7" t="s">
        <v>46</v>
      </c>
      <c r="D12" s="8" t="s">
        <v>83</v>
      </c>
      <c r="E12" s="7" t="s">
        <v>84</v>
      </c>
      <c r="F12" s="7" t="s">
        <v>85</v>
      </c>
      <c r="G12" s="7">
        <v>4</v>
      </c>
      <c r="H12" s="7" t="b">
        <v>1</v>
      </c>
      <c r="I12" s="7" t="s">
        <v>19</v>
      </c>
      <c r="J12" s="7">
        <v>0.67</v>
      </c>
      <c r="K12" s="7" t="s">
        <v>27</v>
      </c>
      <c r="L12" s="7">
        <v>45</v>
      </c>
      <c r="M12" s="7" t="s">
        <v>28</v>
      </c>
      <c r="N12" s="7" t="s">
        <v>281</v>
      </c>
      <c r="O12" s="7" t="str">
        <f t="shared" si="0"/>
        <v>34–45</v>
      </c>
      <c r="P12" s="7" t="str">
        <f t="shared" si="1"/>
        <v>0.5&gt;0.75</v>
      </c>
      <c r="Q12" s="7" t="str">
        <f t="shared" si="2"/>
        <v>Sep</v>
      </c>
      <c r="R12" s="7" t="str">
        <f t="shared" si="3"/>
        <v>2023</v>
      </c>
    </row>
    <row r="13" spans="1:18" x14ac:dyDescent="0.3">
      <c r="A13" s="7" t="s">
        <v>86</v>
      </c>
      <c r="B13" s="7" t="s">
        <v>87</v>
      </c>
      <c r="C13" s="7" t="s">
        <v>64</v>
      </c>
      <c r="D13" s="8" t="s">
        <v>88</v>
      </c>
      <c r="E13" s="7" t="s">
        <v>89</v>
      </c>
      <c r="F13" s="7" t="s">
        <v>90</v>
      </c>
      <c r="G13" s="7">
        <v>1</v>
      </c>
      <c r="H13" s="7" t="b">
        <v>0</v>
      </c>
      <c r="I13" s="7" t="s">
        <v>26</v>
      </c>
      <c r="J13" s="7">
        <v>-0.93</v>
      </c>
      <c r="K13" s="7" t="s">
        <v>20</v>
      </c>
      <c r="L13" s="7">
        <v>33</v>
      </c>
      <c r="M13" s="7" t="s">
        <v>91</v>
      </c>
      <c r="N13" s="7" t="s">
        <v>544</v>
      </c>
      <c r="O13" s="7" t="str">
        <f t="shared" si="0"/>
        <v>26–33</v>
      </c>
      <c r="P13" s="7" t="str">
        <f t="shared" si="1"/>
        <v>&gt;0.25</v>
      </c>
      <c r="Q13" s="7" t="str">
        <f t="shared" si="2"/>
        <v>Aug</v>
      </c>
      <c r="R13" s="7" t="str">
        <f t="shared" si="3"/>
        <v>2023</v>
      </c>
    </row>
    <row r="14" spans="1:18" x14ac:dyDescent="0.3">
      <c r="A14" s="7" t="s">
        <v>92</v>
      </c>
      <c r="B14" s="7" t="s">
        <v>93</v>
      </c>
      <c r="C14" s="7" t="s">
        <v>94</v>
      </c>
      <c r="D14" s="8" t="s">
        <v>95</v>
      </c>
      <c r="E14" s="7" t="s">
        <v>96</v>
      </c>
      <c r="F14" s="7" t="s">
        <v>97</v>
      </c>
      <c r="G14" s="7">
        <v>4</v>
      </c>
      <c r="H14" s="7" t="b">
        <v>1</v>
      </c>
      <c r="I14" s="7" t="s">
        <v>19</v>
      </c>
      <c r="J14" s="7">
        <v>0.61</v>
      </c>
      <c r="K14" s="7" t="s">
        <v>27</v>
      </c>
      <c r="L14" s="7">
        <v>33</v>
      </c>
      <c r="M14" s="7" t="s">
        <v>848</v>
      </c>
      <c r="N14" s="7" t="s">
        <v>848</v>
      </c>
      <c r="O14" s="7" t="str">
        <f t="shared" si="0"/>
        <v>26–33</v>
      </c>
      <c r="P14" s="7" t="str">
        <f t="shared" si="1"/>
        <v>0.5&gt;0.75</v>
      </c>
      <c r="Q14" s="7" t="str">
        <f t="shared" si="2"/>
        <v>Jul</v>
      </c>
      <c r="R14" s="7" t="str">
        <f t="shared" si="3"/>
        <v>2023</v>
      </c>
    </row>
    <row r="15" spans="1:18" x14ac:dyDescent="0.3">
      <c r="A15" s="7" t="s">
        <v>98</v>
      </c>
      <c r="B15" s="7" t="s">
        <v>857</v>
      </c>
      <c r="C15" s="7" t="s">
        <v>22</v>
      </c>
      <c r="D15" s="8" t="s">
        <v>99</v>
      </c>
      <c r="E15" s="7" t="s">
        <v>835</v>
      </c>
      <c r="F15" s="7" t="s">
        <v>858</v>
      </c>
      <c r="G15" s="7">
        <v>3</v>
      </c>
      <c r="H15" s="7" t="b">
        <v>1</v>
      </c>
      <c r="I15" s="7" t="s">
        <v>35</v>
      </c>
      <c r="J15" s="7">
        <v>0.11</v>
      </c>
      <c r="K15" s="7" t="s">
        <v>20</v>
      </c>
      <c r="L15" s="7">
        <v>27</v>
      </c>
      <c r="M15" s="7" t="s">
        <v>100</v>
      </c>
      <c r="N15" s="7" t="s">
        <v>281</v>
      </c>
      <c r="O15" s="7" t="str">
        <f t="shared" si="0"/>
        <v>26–33</v>
      </c>
      <c r="P15" s="7" t="str">
        <f t="shared" si="1"/>
        <v>&gt;0.25</v>
      </c>
      <c r="Q15" s="7" t="str">
        <f t="shared" si="2"/>
        <v>May</v>
      </c>
      <c r="R15" s="7" t="str">
        <f t="shared" si="3"/>
        <v>2023</v>
      </c>
    </row>
    <row r="16" spans="1:18" x14ac:dyDescent="0.3">
      <c r="A16" s="7" t="s">
        <v>101</v>
      </c>
      <c r="B16" s="7" t="s">
        <v>859</v>
      </c>
      <c r="C16" s="7" t="s">
        <v>38</v>
      </c>
      <c r="D16" s="8" t="s">
        <v>102</v>
      </c>
      <c r="E16" s="7" t="s">
        <v>817</v>
      </c>
      <c r="F16" s="7" t="s">
        <v>103</v>
      </c>
      <c r="G16" s="7">
        <v>1</v>
      </c>
      <c r="H16" s="7" t="b">
        <v>0</v>
      </c>
      <c r="I16" s="7" t="s">
        <v>26</v>
      </c>
      <c r="J16" s="7">
        <v>-1</v>
      </c>
      <c r="K16" s="7" t="s">
        <v>27</v>
      </c>
      <c r="L16" s="7">
        <v>61</v>
      </c>
      <c r="M16" s="7" t="s">
        <v>104</v>
      </c>
      <c r="N16" s="7" t="s">
        <v>281</v>
      </c>
      <c r="O16" s="7" t="str">
        <f t="shared" si="0"/>
        <v>56-66</v>
      </c>
      <c r="P16" s="7" t="str">
        <f t="shared" si="1"/>
        <v>&gt;0.25</v>
      </c>
      <c r="Q16" s="7" t="str">
        <f t="shared" si="2"/>
        <v>Jun</v>
      </c>
      <c r="R16" s="7" t="str">
        <f t="shared" si="3"/>
        <v>2023</v>
      </c>
    </row>
    <row r="17" spans="1:18" x14ac:dyDescent="0.3">
      <c r="A17" s="7" t="s">
        <v>105</v>
      </c>
      <c r="B17" s="7" t="s">
        <v>860</v>
      </c>
      <c r="C17" s="7" t="s">
        <v>71</v>
      </c>
      <c r="D17" s="8" t="s">
        <v>106</v>
      </c>
      <c r="E17" s="7" t="s">
        <v>818</v>
      </c>
      <c r="F17" s="7" t="s">
        <v>107</v>
      </c>
      <c r="G17" s="7">
        <v>5</v>
      </c>
      <c r="H17" s="7" t="b">
        <v>1</v>
      </c>
      <c r="I17" s="7" t="s">
        <v>19</v>
      </c>
      <c r="J17" s="7">
        <v>0.81</v>
      </c>
      <c r="K17" s="7" t="s">
        <v>20</v>
      </c>
      <c r="L17" s="7">
        <v>35</v>
      </c>
      <c r="M17" s="7" t="s">
        <v>934</v>
      </c>
      <c r="N17" s="7" t="s">
        <v>281</v>
      </c>
      <c r="O17" s="7" t="str">
        <f t="shared" si="0"/>
        <v>34–45</v>
      </c>
      <c r="P17" s="7" t="str">
        <f t="shared" si="1"/>
        <v>0.75&gt;1</v>
      </c>
      <c r="Q17" s="7" t="str">
        <f t="shared" si="2"/>
        <v>Jul</v>
      </c>
      <c r="R17" s="7" t="str">
        <f t="shared" si="3"/>
        <v>2023</v>
      </c>
    </row>
    <row r="18" spans="1:18" x14ac:dyDescent="0.3">
      <c r="A18" s="7" t="s">
        <v>108</v>
      </c>
      <c r="B18" s="7" t="s">
        <v>109</v>
      </c>
      <c r="C18" s="7" t="s">
        <v>110</v>
      </c>
      <c r="D18" s="8" t="s">
        <v>111</v>
      </c>
      <c r="E18" s="7" t="s">
        <v>819</v>
      </c>
      <c r="F18" s="7" t="s">
        <v>112</v>
      </c>
      <c r="G18" s="7">
        <v>3</v>
      </c>
      <c r="H18" s="7" t="b">
        <v>0</v>
      </c>
      <c r="I18" s="7" t="s">
        <v>35</v>
      </c>
      <c r="J18" s="7">
        <v>0.09</v>
      </c>
      <c r="K18" s="7" t="s">
        <v>848</v>
      </c>
      <c r="L18" s="7">
        <v>26</v>
      </c>
      <c r="M18" s="7" t="s">
        <v>848</v>
      </c>
      <c r="N18" s="7" t="s">
        <v>848</v>
      </c>
      <c r="O18" s="7" t="str">
        <f t="shared" si="0"/>
        <v>26–33</v>
      </c>
      <c r="P18" s="7" t="str">
        <f t="shared" si="1"/>
        <v>&gt;0.25</v>
      </c>
      <c r="Q18" s="7" t="str">
        <f t="shared" si="2"/>
        <v>Aug</v>
      </c>
      <c r="R18" s="7" t="str">
        <f t="shared" si="3"/>
        <v>2023</v>
      </c>
    </row>
    <row r="19" spans="1:18" x14ac:dyDescent="0.3">
      <c r="A19" s="7" t="s">
        <v>113</v>
      </c>
      <c r="B19" s="7" t="s">
        <v>861</v>
      </c>
      <c r="C19" s="7" t="s">
        <v>15</v>
      </c>
      <c r="D19" s="8" t="s">
        <v>114</v>
      </c>
      <c r="E19" s="7" t="s">
        <v>820</v>
      </c>
      <c r="F19" s="7" t="s">
        <v>862</v>
      </c>
      <c r="G19" s="7">
        <v>4</v>
      </c>
      <c r="H19" s="7" t="b">
        <v>1</v>
      </c>
      <c r="I19" s="7" t="s">
        <v>19</v>
      </c>
      <c r="J19" s="7">
        <v>0.79</v>
      </c>
      <c r="K19" s="7" t="s">
        <v>20</v>
      </c>
      <c r="L19" s="7">
        <v>53</v>
      </c>
      <c r="M19" s="7" t="s">
        <v>115</v>
      </c>
      <c r="N19" s="7" t="s">
        <v>281</v>
      </c>
      <c r="O19" s="7" t="str">
        <f t="shared" si="0"/>
        <v>46–55</v>
      </c>
      <c r="P19" s="7" t="str">
        <f t="shared" si="1"/>
        <v>0.75&gt;1</v>
      </c>
      <c r="Q19" s="7" t="str">
        <f t="shared" si="2"/>
        <v>Mar</v>
      </c>
      <c r="R19" s="7" t="str">
        <f t="shared" si="3"/>
        <v>2023</v>
      </c>
    </row>
    <row r="20" spans="1:18" x14ac:dyDescent="0.3">
      <c r="A20" s="7" t="s">
        <v>116</v>
      </c>
      <c r="B20" s="7" t="s">
        <v>117</v>
      </c>
      <c r="C20" s="7" t="s">
        <v>64</v>
      </c>
      <c r="D20" s="8" t="s">
        <v>118</v>
      </c>
      <c r="E20" s="7" t="s">
        <v>821</v>
      </c>
      <c r="F20" s="7" t="s">
        <v>119</v>
      </c>
      <c r="G20" s="7">
        <v>2</v>
      </c>
      <c r="H20" s="7" t="b">
        <v>0</v>
      </c>
      <c r="I20" s="7" t="s">
        <v>26</v>
      </c>
      <c r="J20" s="7">
        <v>-0.49</v>
      </c>
      <c r="K20" s="7" t="s">
        <v>27</v>
      </c>
      <c r="L20" s="7">
        <v>46</v>
      </c>
      <c r="M20" s="7" t="s">
        <v>120</v>
      </c>
      <c r="N20" s="7" t="s">
        <v>293</v>
      </c>
      <c r="O20" s="7" t="str">
        <f t="shared" si="0"/>
        <v>46–55</v>
      </c>
      <c r="P20" s="7" t="str">
        <f t="shared" si="1"/>
        <v>&gt;0.25</v>
      </c>
      <c r="Q20" s="7" t="str">
        <f t="shared" si="2"/>
        <v>Jul</v>
      </c>
      <c r="R20" s="7" t="str">
        <f t="shared" si="3"/>
        <v>2023</v>
      </c>
    </row>
    <row r="21" spans="1:18" x14ac:dyDescent="0.3">
      <c r="A21" s="7" t="s">
        <v>121</v>
      </c>
      <c r="B21" s="7" t="s">
        <v>122</v>
      </c>
      <c r="C21" s="7" t="s">
        <v>46</v>
      </c>
      <c r="D21" s="8" t="s">
        <v>123</v>
      </c>
      <c r="E21" s="7" t="s">
        <v>822</v>
      </c>
      <c r="F21" s="7" t="s">
        <v>125</v>
      </c>
      <c r="G21" s="7">
        <v>5</v>
      </c>
      <c r="H21" s="7" t="b">
        <v>1</v>
      </c>
      <c r="I21" s="7" t="s">
        <v>19</v>
      </c>
      <c r="J21" s="7">
        <v>0.98</v>
      </c>
      <c r="K21" s="7" t="s">
        <v>20</v>
      </c>
      <c r="L21" s="7">
        <v>33</v>
      </c>
      <c r="M21" s="7" t="s">
        <v>126</v>
      </c>
      <c r="N21" s="7" t="s">
        <v>309</v>
      </c>
      <c r="O21" s="7" t="str">
        <f t="shared" si="0"/>
        <v>26–33</v>
      </c>
      <c r="P21" s="7" t="str">
        <f t="shared" si="1"/>
        <v>0.75&gt;1</v>
      </c>
      <c r="Q21" s="7" t="str">
        <f t="shared" si="2"/>
        <v>Aug</v>
      </c>
      <c r="R21" s="7" t="str">
        <f t="shared" si="3"/>
        <v>2023</v>
      </c>
    </row>
    <row r="22" spans="1:18" x14ac:dyDescent="0.3">
      <c r="A22" s="7" t="s">
        <v>127</v>
      </c>
      <c r="B22" s="7" t="s">
        <v>863</v>
      </c>
      <c r="C22" s="7" t="s">
        <v>71</v>
      </c>
      <c r="D22" s="8" t="s">
        <v>128</v>
      </c>
      <c r="E22" s="7" t="s">
        <v>823</v>
      </c>
      <c r="F22" s="7" t="s">
        <v>129</v>
      </c>
      <c r="G22" s="7">
        <v>2</v>
      </c>
      <c r="H22" s="7" t="b">
        <v>0</v>
      </c>
      <c r="I22" s="7" t="s">
        <v>26</v>
      </c>
      <c r="J22" s="7">
        <v>-0.61</v>
      </c>
      <c r="K22" s="7" t="s">
        <v>27</v>
      </c>
      <c r="L22" s="7">
        <v>34</v>
      </c>
      <c r="M22" s="7" t="s">
        <v>130</v>
      </c>
      <c r="N22" s="7" t="s">
        <v>281</v>
      </c>
      <c r="O22" s="7" t="str">
        <f t="shared" si="0"/>
        <v>34–45</v>
      </c>
      <c r="P22" s="7" t="str">
        <f t="shared" si="1"/>
        <v>&gt;0.25</v>
      </c>
      <c r="Q22" s="7" t="str">
        <f t="shared" si="2"/>
        <v>Jun</v>
      </c>
      <c r="R22" s="7" t="str">
        <f t="shared" si="3"/>
        <v>2023</v>
      </c>
    </row>
    <row r="23" spans="1:18" x14ac:dyDescent="0.3">
      <c r="A23" s="7" t="s">
        <v>131</v>
      </c>
      <c r="B23" s="7" t="s">
        <v>864</v>
      </c>
      <c r="C23" s="7" t="s">
        <v>38</v>
      </c>
      <c r="D23" s="8" t="s">
        <v>132</v>
      </c>
      <c r="E23" s="7" t="s">
        <v>824</v>
      </c>
      <c r="F23" s="7" t="s">
        <v>134</v>
      </c>
      <c r="G23" s="7">
        <v>4</v>
      </c>
      <c r="H23" s="7" t="b">
        <v>1</v>
      </c>
      <c r="I23" s="7" t="s">
        <v>19</v>
      </c>
      <c r="J23" s="7">
        <v>0.65</v>
      </c>
      <c r="K23" s="7" t="s">
        <v>20</v>
      </c>
      <c r="L23" s="7">
        <v>38</v>
      </c>
      <c r="M23" s="7" t="s">
        <v>135</v>
      </c>
      <c r="N23" s="7" t="s">
        <v>43</v>
      </c>
      <c r="O23" s="7" t="str">
        <f t="shared" si="0"/>
        <v>34–45</v>
      </c>
      <c r="P23" s="7" t="str">
        <f t="shared" si="1"/>
        <v>0.5&gt;0.75</v>
      </c>
      <c r="Q23" s="7" t="str">
        <f t="shared" si="2"/>
        <v>May</v>
      </c>
      <c r="R23" s="7" t="str">
        <f t="shared" si="3"/>
        <v>2023</v>
      </c>
    </row>
    <row r="24" spans="1:18" x14ac:dyDescent="0.3">
      <c r="A24" s="7" t="s">
        <v>136</v>
      </c>
      <c r="B24" s="7" t="s">
        <v>860</v>
      </c>
      <c r="C24" s="7" t="s">
        <v>15</v>
      </c>
      <c r="D24" s="8" t="s">
        <v>137</v>
      </c>
      <c r="E24" s="7" t="s">
        <v>825</v>
      </c>
      <c r="F24" s="7" t="s">
        <v>138</v>
      </c>
      <c r="G24" s="7">
        <v>2</v>
      </c>
      <c r="H24" s="7" t="b">
        <v>0</v>
      </c>
      <c r="I24" s="7" t="s">
        <v>26</v>
      </c>
      <c r="J24" s="7">
        <v>-0.75</v>
      </c>
      <c r="K24" s="7" t="s">
        <v>20</v>
      </c>
      <c r="L24" s="7">
        <v>35</v>
      </c>
      <c r="M24" s="7" t="s">
        <v>934</v>
      </c>
      <c r="N24" s="7" t="s">
        <v>281</v>
      </c>
      <c r="O24" s="7" t="str">
        <f t="shared" si="0"/>
        <v>34–45</v>
      </c>
      <c r="P24" s="7" t="str">
        <f t="shared" si="1"/>
        <v>&gt;0.25</v>
      </c>
      <c r="Q24" s="7" t="str">
        <f t="shared" si="2"/>
        <v>Apr</v>
      </c>
      <c r="R24" s="7" t="str">
        <f t="shared" si="3"/>
        <v>2023</v>
      </c>
    </row>
    <row r="25" spans="1:18" x14ac:dyDescent="0.3">
      <c r="A25" s="7" t="s">
        <v>139</v>
      </c>
      <c r="B25" s="7" t="s">
        <v>140</v>
      </c>
      <c r="C25" s="7" t="s">
        <v>46</v>
      </c>
      <c r="D25" s="8" t="s">
        <v>141</v>
      </c>
      <c r="E25" s="7" t="s">
        <v>826</v>
      </c>
      <c r="F25" s="7" t="s">
        <v>142</v>
      </c>
      <c r="G25" s="7">
        <v>5</v>
      </c>
      <c r="H25" s="7" t="b">
        <v>1</v>
      </c>
      <c r="I25" s="7" t="s">
        <v>19</v>
      </c>
      <c r="J25" s="7">
        <v>0.84</v>
      </c>
      <c r="K25" s="7" t="s">
        <v>27</v>
      </c>
      <c r="L25" s="7">
        <v>48</v>
      </c>
      <c r="M25" s="7" t="s">
        <v>143</v>
      </c>
      <c r="N25" s="7" t="s">
        <v>309</v>
      </c>
      <c r="O25" s="7" t="str">
        <f t="shared" si="0"/>
        <v>46–55</v>
      </c>
      <c r="P25" s="7" t="str">
        <f t="shared" si="1"/>
        <v>0.75&gt;1</v>
      </c>
      <c r="Q25" s="7" t="str">
        <f t="shared" si="2"/>
        <v>Sep</v>
      </c>
      <c r="R25" s="7" t="str">
        <f t="shared" si="3"/>
        <v>2023</v>
      </c>
    </row>
    <row r="26" spans="1:18" x14ac:dyDescent="0.3">
      <c r="A26" s="7" t="s">
        <v>144</v>
      </c>
      <c r="B26" s="7" t="s">
        <v>145</v>
      </c>
      <c r="C26" s="7" t="s">
        <v>58</v>
      </c>
      <c r="D26" s="8" t="s">
        <v>146</v>
      </c>
      <c r="E26" s="7" t="s">
        <v>834</v>
      </c>
      <c r="F26" s="7" t="s">
        <v>147</v>
      </c>
      <c r="G26" s="7">
        <v>3</v>
      </c>
      <c r="H26" s="7" t="b">
        <v>1</v>
      </c>
      <c r="I26" s="7" t="s">
        <v>35</v>
      </c>
      <c r="J26" s="7">
        <v>0.14000000000000001</v>
      </c>
      <c r="K26" s="7" t="s">
        <v>20</v>
      </c>
      <c r="L26" s="7">
        <v>25</v>
      </c>
      <c r="M26" s="7" t="s">
        <v>91</v>
      </c>
      <c r="N26" s="7" t="s">
        <v>544</v>
      </c>
      <c r="O26" s="7" t="str">
        <f t="shared" si="0"/>
        <v>17–25</v>
      </c>
      <c r="P26" s="7" t="str">
        <f t="shared" si="1"/>
        <v>&gt;0.25</v>
      </c>
      <c r="Q26" s="7" t="str">
        <f t="shared" si="2"/>
        <v>Jun</v>
      </c>
      <c r="R26" s="7" t="str">
        <f t="shared" si="3"/>
        <v>2023</v>
      </c>
    </row>
    <row r="27" spans="1:18" x14ac:dyDescent="0.3">
      <c r="A27" s="7" t="s">
        <v>148</v>
      </c>
      <c r="B27" s="7" t="s">
        <v>853</v>
      </c>
      <c r="C27" s="7" t="s">
        <v>64</v>
      </c>
      <c r="D27" s="8" t="s">
        <v>149</v>
      </c>
      <c r="E27" s="7" t="s">
        <v>828</v>
      </c>
      <c r="F27" s="7" t="s">
        <v>150</v>
      </c>
      <c r="G27" s="7">
        <v>2</v>
      </c>
      <c r="H27" s="7" t="b">
        <v>0</v>
      </c>
      <c r="I27" s="7" t="s">
        <v>26</v>
      </c>
      <c r="J27" s="7">
        <v>-0.65</v>
      </c>
      <c r="K27" s="7" t="s">
        <v>27</v>
      </c>
      <c r="L27" s="7">
        <v>45</v>
      </c>
      <c r="M27" s="7" t="s">
        <v>28</v>
      </c>
      <c r="N27" s="7" t="s">
        <v>281</v>
      </c>
      <c r="O27" s="7" t="str">
        <f t="shared" si="0"/>
        <v>34–45</v>
      </c>
      <c r="P27" s="7" t="str">
        <f t="shared" si="1"/>
        <v>&gt;0.25</v>
      </c>
      <c r="Q27" s="7" t="str">
        <f t="shared" si="2"/>
        <v>May</v>
      </c>
      <c r="R27" s="7" t="str">
        <f t="shared" si="3"/>
        <v>2023</v>
      </c>
    </row>
    <row r="28" spans="1:18" x14ac:dyDescent="0.3">
      <c r="A28" s="7" t="s">
        <v>151</v>
      </c>
      <c r="B28" s="7" t="s">
        <v>152</v>
      </c>
      <c r="C28" s="7" t="s">
        <v>31</v>
      </c>
      <c r="D28" s="8" t="s">
        <v>153</v>
      </c>
      <c r="E28" s="7" t="s">
        <v>829</v>
      </c>
      <c r="F28" s="7" t="s">
        <v>154</v>
      </c>
      <c r="G28" s="7">
        <v>5</v>
      </c>
      <c r="H28" s="7" t="b">
        <v>1</v>
      </c>
      <c r="I28" s="7" t="s">
        <v>19</v>
      </c>
      <c r="J28" s="7">
        <v>0.93</v>
      </c>
      <c r="K28" s="7" t="s">
        <v>20</v>
      </c>
      <c r="L28" s="7">
        <v>39</v>
      </c>
      <c r="M28" s="7" t="s">
        <v>155</v>
      </c>
      <c r="N28" s="7" t="s">
        <v>299</v>
      </c>
      <c r="O28" s="7" t="str">
        <f t="shared" si="0"/>
        <v>34–45</v>
      </c>
      <c r="P28" s="7" t="str">
        <f t="shared" si="1"/>
        <v>0.75&gt;1</v>
      </c>
      <c r="Q28" s="7" t="str">
        <f t="shared" si="2"/>
        <v>Mar</v>
      </c>
      <c r="R28" s="7" t="str">
        <f t="shared" si="3"/>
        <v>2023</v>
      </c>
    </row>
    <row r="29" spans="1:18" x14ac:dyDescent="0.3">
      <c r="A29" s="7" t="s">
        <v>156</v>
      </c>
      <c r="B29" s="7" t="s">
        <v>865</v>
      </c>
      <c r="C29" s="7" t="s">
        <v>110</v>
      </c>
      <c r="D29" s="8" t="s">
        <v>157</v>
      </c>
      <c r="E29" s="7" t="s">
        <v>866</v>
      </c>
      <c r="F29" s="7" t="s">
        <v>158</v>
      </c>
      <c r="G29" s="7">
        <v>3</v>
      </c>
      <c r="H29" s="7" t="b">
        <v>0</v>
      </c>
      <c r="I29" s="7" t="s">
        <v>35</v>
      </c>
      <c r="J29" s="7">
        <v>-0.01</v>
      </c>
      <c r="K29" s="7" t="s">
        <v>27</v>
      </c>
      <c r="L29" s="7">
        <v>23</v>
      </c>
      <c r="M29" s="7" t="s">
        <v>159</v>
      </c>
      <c r="N29" s="7" t="s">
        <v>281</v>
      </c>
      <c r="O29" s="7" t="str">
        <f t="shared" si="0"/>
        <v>17–25</v>
      </c>
      <c r="P29" s="7" t="str">
        <f t="shared" si="1"/>
        <v>&gt;0.25</v>
      </c>
      <c r="Q29" s="7" t="str">
        <f t="shared" si="2"/>
        <v>Aug</v>
      </c>
      <c r="R29" s="7" t="str">
        <f t="shared" si="3"/>
        <v>2023</v>
      </c>
    </row>
    <row r="30" spans="1:18" x14ac:dyDescent="0.3">
      <c r="A30" s="7" t="s">
        <v>160</v>
      </c>
      <c r="B30" s="7" t="s">
        <v>161</v>
      </c>
      <c r="C30" s="7" t="s">
        <v>58</v>
      </c>
      <c r="D30" s="8" t="s">
        <v>162</v>
      </c>
      <c r="E30" s="7" t="s">
        <v>831</v>
      </c>
      <c r="F30" s="7" t="s">
        <v>163</v>
      </c>
      <c r="G30" s="7">
        <v>5</v>
      </c>
      <c r="H30" s="7" t="b">
        <v>1</v>
      </c>
      <c r="I30" s="7" t="s">
        <v>19</v>
      </c>
      <c r="J30" s="7">
        <v>0.9</v>
      </c>
      <c r="K30" s="7" t="s">
        <v>20</v>
      </c>
      <c r="L30" s="7">
        <v>41</v>
      </c>
      <c r="M30" s="7" t="s">
        <v>164</v>
      </c>
      <c r="N30" s="7" t="s">
        <v>293</v>
      </c>
      <c r="O30" s="7" t="str">
        <f t="shared" si="0"/>
        <v>34–45</v>
      </c>
      <c r="P30" s="7" t="str">
        <f t="shared" si="1"/>
        <v>0.75&gt;1</v>
      </c>
      <c r="Q30" s="7" t="str">
        <f t="shared" si="2"/>
        <v>Jun</v>
      </c>
      <c r="R30" s="7" t="str">
        <f t="shared" si="3"/>
        <v>2023</v>
      </c>
    </row>
    <row r="31" spans="1:18" x14ac:dyDescent="0.3">
      <c r="A31" s="7" t="s">
        <v>165</v>
      </c>
      <c r="B31" s="7" t="s">
        <v>166</v>
      </c>
      <c r="C31" s="7" t="s">
        <v>71</v>
      </c>
      <c r="D31" s="8" t="s">
        <v>167</v>
      </c>
      <c r="E31" s="7" t="s">
        <v>832</v>
      </c>
      <c r="F31" s="7" t="s">
        <v>168</v>
      </c>
      <c r="G31" s="7">
        <v>3</v>
      </c>
      <c r="H31" s="7" t="b">
        <v>0</v>
      </c>
      <c r="I31" s="7" t="s">
        <v>35</v>
      </c>
      <c r="J31" s="7">
        <v>7.0000000000000007E-2</v>
      </c>
      <c r="K31" s="7" t="s">
        <v>848</v>
      </c>
      <c r="L31" s="7">
        <v>33</v>
      </c>
      <c r="M31" s="7" t="s">
        <v>848</v>
      </c>
      <c r="N31" s="7" t="s">
        <v>848</v>
      </c>
      <c r="O31" s="7" t="str">
        <f t="shared" si="0"/>
        <v>26–33</v>
      </c>
      <c r="P31" s="7" t="str">
        <f t="shared" si="1"/>
        <v>&gt;0.25</v>
      </c>
      <c r="Q31" s="7" t="str">
        <f t="shared" si="2"/>
        <v>Jul</v>
      </c>
      <c r="R31" s="7" t="str">
        <f t="shared" si="3"/>
        <v>2023</v>
      </c>
    </row>
    <row r="32" spans="1:18" x14ac:dyDescent="0.3">
      <c r="A32" s="7" t="s">
        <v>169</v>
      </c>
      <c r="B32" s="7" t="s">
        <v>854</v>
      </c>
      <c r="C32" s="7" t="s">
        <v>94</v>
      </c>
      <c r="D32" s="8" t="s">
        <v>99</v>
      </c>
      <c r="E32" s="7" t="s">
        <v>833</v>
      </c>
      <c r="F32" s="7" t="s">
        <v>170</v>
      </c>
      <c r="G32" s="7">
        <v>1</v>
      </c>
      <c r="H32" s="7" t="b">
        <v>0</v>
      </c>
      <c r="I32" s="7" t="s">
        <v>26</v>
      </c>
      <c r="J32" s="7">
        <v>-0.78</v>
      </c>
      <c r="K32" s="7" t="s">
        <v>27</v>
      </c>
      <c r="L32" s="7">
        <v>28</v>
      </c>
      <c r="M32" s="7" t="s">
        <v>42</v>
      </c>
      <c r="N32" s="7" t="s">
        <v>43</v>
      </c>
      <c r="O32" s="7" t="str">
        <f t="shared" si="0"/>
        <v>26–33</v>
      </c>
      <c r="P32" s="7" t="str">
        <f t="shared" si="1"/>
        <v>&gt;0.25</v>
      </c>
      <c r="Q32" s="7" t="str">
        <f t="shared" si="2"/>
        <v>May</v>
      </c>
      <c r="R32" s="7" t="str">
        <f t="shared" si="3"/>
        <v>2023</v>
      </c>
    </row>
    <row r="33" spans="1:18" x14ac:dyDescent="0.3">
      <c r="A33" s="7" t="s">
        <v>171</v>
      </c>
      <c r="B33" s="7" t="s">
        <v>172</v>
      </c>
      <c r="C33" s="7" t="s">
        <v>38</v>
      </c>
      <c r="D33" s="8" t="s">
        <v>173</v>
      </c>
      <c r="E33" s="7" t="s">
        <v>174</v>
      </c>
      <c r="F33" s="7" t="s">
        <v>175</v>
      </c>
      <c r="G33" s="7">
        <v>4</v>
      </c>
      <c r="H33" s="7" t="b">
        <v>1</v>
      </c>
      <c r="I33" s="7" t="s">
        <v>19</v>
      </c>
      <c r="J33" s="7">
        <v>0.68</v>
      </c>
      <c r="K33" s="7" t="s">
        <v>20</v>
      </c>
      <c r="L33" s="7">
        <v>63</v>
      </c>
      <c r="M33" s="7" t="s">
        <v>36</v>
      </c>
      <c r="N33" s="7" t="s">
        <v>309</v>
      </c>
      <c r="O33" s="7" t="str">
        <f t="shared" si="0"/>
        <v>56-66</v>
      </c>
      <c r="P33" s="7" t="str">
        <f t="shared" si="1"/>
        <v>0.5&gt;0.75</v>
      </c>
      <c r="Q33" s="7" t="str">
        <f t="shared" si="2"/>
        <v>Apr</v>
      </c>
      <c r="R33" s="7" t="str">
        <f t="shared" si="3"/>
        <v>2023</v>
      </c>
    </row>
    <row r="34" spans="1:18" x14ac:dyDescent="0.3">
      <c r="A34" s="7" t="s">
        <v>176</v>
      </c>
      <c r="B34" s="7" t="s">
        <v>177</v>
      </c>
      <c r="C34" s="7" t="s">
        <v>46</v>
      </c>
      <c r="D34" s="8" t="s">
        <v>178</v>
      </c>
      <c r="E34" s="7" t="s">
        <v>179</v>
      </c>
      <c r="F34" s="7" t="s">
        <v>180</v>
      </c>
      <c r="G34" s="7">
        <v>5</v>
      </c>
      <c r="H34" s="7" t="b">
        <v>1</v>
      </c>
      <c r="I34" s="7" t="s">
        <v>19</v>
      </c>
      <c r="J34" s="7">
        <v>0.85</v>
      </c>
      <c r="K34" s="7" t="s">
        <v>27</v>
      </c>
      <c r="L34" s="7">
        <v>56</v>
      </c>
      <c r="M34" s="7" t="s">
        <v>181</v>
      </c>
      <c r="N34" s="7" t="s">
        <v>360</v>
      </c>
      <c r="O34" s="7" t="str">
        <f t="shared" si="0"/>
        <v>56-66</v>
      </c>
      <c r="P34" s="7" t="str">
        <f t="shared" si="1"/>
        <v>0.75&gt;1</v>
      </c>
      <c r="Q34" s="7" t="str">
        <f t="shared" si="2"/>
        <v>May</v>
      </c>
      <c r="R34" s="7" t="str">
        <f t="shared" si="3"/>
        <v>2023</v>
      </c>
    </row>
    <row r="35" spans="1:18" x14ac:dyDescent="0.3">
      <c r="A35" s="7" t="s">
        <v>182</v>
      </c>
      <c r="B35" s="7" t="s">
        <v>45</v>
      </c>
      <c r="C35" s="7" t="s">
        <v>71</v>
      </c>
      <c r="D35" s="8" t="s">
        <v>183</v>
      </c>
      <c r="E35" s="7" t="s">
        <v>184</v>
      </c>
      <c r="F35" s="7" t="s">
        <v>185</v>
      </c>
      <c r="G35" s="7">
        <v>2</v>
      </c>
      <c r="H35" s="7" t="b">
        <v>0</v>
      </c>
      <c r="I35" s="7" t="s">
        <v>26</v>
      </c>
      <c r="J35" s="7">
        <v>-0.56000000000000005</v>
      </c>
      <c r="K35" s="7" t="s">
        <v>20</v>
      </c>
      <c r="L35" s="7">
        <v>54</v>
      </c>
      <c r="M35" s="7" t="s">
        <v>50</v>
      </c>
      <c r="N35" s="7" t="s">
        <v>293</v>
      </c>
      <c r="O35" s="7" t="str">
        <f t="shared" si="0"/>
        <v>46–55</v>
      </c>
      <c r="P35" s="7" t="str">
        <f t="shared" si="1"/>
        <v>&gt;0.25</v>
      </c>
      <c r="Q35" s="7" t="str">
        <f t="shared" si="2"/>
        <v>Jun</v>
      </c>
      <c r="R35" s="7" t="str">
        <f t="shared" si="3"/>
        <v>2023</v>
      </c>
    </row>
    <row r="36" spans="1:18" x14ac:dyDescent="0.3">
      <c r="A36" s="7" t="s">
        <v>186</v>
      </c>
      <c r="B36" s="7" t="s">
        <v>187</v>
      </c>
      <c r="C36" s="7" t="s">
        <v>38</v>
      </c>
      <c r="D36" s="8" t="s">
        <v>188</v>
      </c>
      <c r="E36" s="7" t="s">
        <v>189</v>
      </c>
      <c r="F36" s="7" t="s">
        <v>190</v>
      </c>
      <c r="G36" s="7">
        <v>5</v>
      </c>
      <c r="H36" s="7" t="b">
        <v>1</v>
      </c>
      <c r="I36" s="7" t="s">
        <v>19</v>
      </c>
      <c r="J36" s="7">
        <v>0.91</v>
      </c>
      <c r="K36" s="7" t="s">
        <v>27</v>
      </c>
      <c r="L36" s="7">
        <v>50</v>
      </c>
      <c r="M36" s="7" t="s">
        <v>191</v>
      </c>
      <c r="N36" s="7" t="s">
        <v>629</v>
      </c>
      <c r="O36" s="7" t="str">
        <f t="shared" si="0"/>
        <v>46–55</v>
      </c>
      <c r="P36" s="7" t="str">
        <f t="shared" si="1"/>
        <v>0.75&gt;1</v>
      </c>
      <c r="Q36" s="7" t="str">
        <f t="shared" si="2"/>
        <v>Jul</v>
      </c>
      <c r="R36" s="7" t="str">
        <f t="shared" si="3"/>
        <v>2023</v>
      </c>
    </row>
    <row r="37" spans="1:18" x14ac:dyDescent="0.3">
      <c r="A37" s="7" t="s">
        <v>192</v>
      </c>
      <c r="B37" s="7" t="s">
        <v>867</v>
      </c>
      <c r="C37" s="7" t="s">
        <v>110</v>
      </c>
      <c r="D37" s="8" t="s">
        <v>193</v>
      </c>
      <c r="E37" s="7" t="s">
        <v>194</v>
      </c>
      <c r="F37" s="7" t="s">
        <v>195</v>
      </c>
      <c r="G37" s="7">
        <v>2</v>
      </c>
      <c r="H37" s="7" t="b">
        <v>0</v>
      </c>
      <c r="I37" s="7" t="s">
        <v>26</v>
      </c>
      <c r="J37" s="7">
        <v>-0.67</v>
      </c>
      <c r="K37" s="7" t="s">
        <v>20</v>
      </c>
      <c r="L37" s="7">
        <v>31</v>
      </c>
      <c r="M37" s="7" t="s">
        <v>104</v>
      </c>
      <c r="N37" s="7" t="s">
        <v>281</v>
      </c>
      <c r="O37" s="7" t="str">
        <f t="shared" si="0"/>
        <v>26–33</v>
      </c>
      <c r="P37" s="7" t="str">
        <f t="shared" si="1"/>
        <v>&gt;0.25</v>
      </c>
      <c r="Q37" s="7" t="str">
        <f t="shared" si="2"/>
        <v>Aug</v>
      </c>
      <c r="R37" s="7" t="str">
        <f t="shared" si="3"/>
        <v>2023</v>
      </c>
    </row>
    <row r="38" spans="1:18" x14ac:dyDescent="0.3">
      <c r="A38" s="7" t="s">
        <v>196</v>
      </c>
      <c r="B38" s="7" t="s">
        <v>197</v>
      </c>
      <c r="C38" s="7" t="s">
        <v>94</v>
      </c>
      <c r="D38" s="8" t="s">
        <v>198</v>
      </c>
      <c r="E38" s="7" t="s">
        <v>199</v>
      </c>
      <c r="F38" s="7" t="s">
        <v>200</v>
      </c>
      <c r="G38" s="7">
        <v>4</v>
      </c>
      <c r="H38" s="7" t="b">
        <v>1</v>
      </c>
      <c r="I38" s="7" t="s">
        <v>19</v>
      </c>
      <c r="J38" s="7">
        <v>0.62</v>
      </c>
      <c r="K38" s="7" t="s">
        <v>27</v>
      </c>
      <c r="L38" s="7">
        <v>33</v>
      </c>
      <c r="M38" s="7" t="s">
        <v>201</v>
      </c>
      <c r="N38" s="7" t="s">
        <v>315</v>
      </c>
      <c r="O38" s="7" t="str">
        <f t="shared" si="0"/>
        <v>26–33</v>
      </c>
      <c r="P38" s="7" t="str">
        <f t="shared" si="1"/>
        <v>0.5&gt;0.75</v>
      </c>
      <c r="Q38" s="7" t="str">
        <f t="shared" si="2"/>
        <v>May</v>
      </c>
      <c r="R38" s="7" t="str">
        <f t="shared" si="3"/>
        <v>2023</v>
      </c>
    </row>
    <row r="39" spans="1:18" x14ac:dyDescent="0.3">
      <c r="A39" s="7" t="s">
        <v>202</v>
      </c>
      <c r="B39" s="7" t="s">
        <v>868</v>
      </c>
      <c r="C39" s="7" t="s">
        <v>15</v>
      </c>
      <c r="D39" s="8" t="s">
        <v>203</v>
      </c>
      <c r="E39" s="7" t="s">
        <v>204</v>
      </c>
      <c r="F39" s="7" t="s">
        <v>205</v>
      </c>
      <c r="G39" s="7">
        <v>3</v>
      </c>
      <c r="H39" s="7" t="b">
        <v>0</v>
      </c>
      <c r="I39" s="7" t="s">
        <v>35</v>
      </c>
      <c r="J39" s="7">
        <v>0.13</v>
      </c>
      <c r="K39" s="7" t="s">
        <v>20</v>
      </c>
      <c r="L39" s="7">
        <v>21</v>
      </c>
      <c r="M39" s="7" t="s">
        <v>206</v>
      </c>
      <c r="N39" s="7" t="s">
        <v>43</v>
      </c>
      <c r="O39" s="7" t="str">
        <f t="shared" si="0"/>
        <v>17–25</v>
      </c>
      <c r="P39" s="7" t="str">
        <f t="shared" si="1"/>
        <v>&gt;0.25</v>
      </c>
      <c r="Q39" s="7" t="str">
        <f t="shared" si="2"/>
        <v>Mar</v>
      </c>
      <c r="R39" s="7" t="str">
        <f t="shared" si="3"/>
        <v>2023</v>
      </c>
    </row>
    <row r="40" spans="1:18" x14ac:dyDescent="0.3">
      <c r="A40" s="7" t="s">
        <v>207</v>
      </c>
      <c r="B40" s="7" t="s">
        <v>52</v>
      </c>
      <c r="C40" s="7" t="s">
        <v>22</v>
      </c>
      <c r="D40" s="8" t="s">
        <v>208</v>
      </c>
      <c r="E40" s="7" t="s">
        <v>209</v>
      </c>
      <c r="F40" s="7" t="s">
        <v>210</v>
      </c>
      <c r="G40" s="7">
        <v>1</v>
      </c>
      <c r="H40" s="7" t="b">
        <v>0</v>
      </c>
      <c r="I40" s="7" t="s">
        <v>26</v>
      </c>
      <c r="J40" s="7">
        <v>-0.88</v>
      </c>
      <c r="K40" s="7" t="s">
        <v>20</v>
      </c>
      <c r="L40" s="7">
        <v>29</v>
      </c>
      <c r="M40" s="7" t="s">
        <v>56</v>
      </c>
      <c r="N40" s="7" t="s">
        <v>299</v>
      </c>
      <c r="O40" s="7" t="str">
        <f t="shared" si="0"/>
        <v>26–33</v>
      </c>
      <c r="P40" s="7" t="str">
        <f t="shared" si="1"/>
        <v>&gt;0.25</v>
      </c>
      <c r="Q40" s="7" t="str">
        <f t="shared" si="2"/>
        <v>Jun</v>
      </c>
      <c r="R40" s="7" t="str">
        <f t="shared" si="3"/>
        <v>2023</v>
      </c>
    </row>
    <row r="41" spans="1:18" x14ac:dyDescent="0.3">
      <c r="A41" s="7" t="s">
        <v>211</v>
      </c>
      <c r="B41" s="7" t="s">
        <v>869</v>
      </c>
      <c r="C41" s="7" t="s">
        <v>110</v>
      </c>
      <c r="D41" s="8" t="s">
        <v>212</v>
      </c>
      <c r="E41" s="7" t="s">
        <v>213</v>
      </c>
      <c r="F41" s="7" t="s">
        <v>870</v>
      </c>
      <c r="G41" s="7">
        <v>5</v>
      </c>
      <c r="H41" s="7" t="b">
        <v>1</v>
      </c>
      <c r="I41" s="7" t="s">
        <v>19</v>
      </c>
      <c r="J41" s="7">
        <v>0.97</v>
      </c>
      <c r="K41" s="7" t="s">
        <v>27</v>
      </c>
      <c r="L41" s="7">
        <v>36</v>
      </c>
      <c r="M41" s="7" t="s">
        <v>214</v>
      </c>
      <c r="N41" s="7" t="s">
        <v>281</v>
      </c>
      <c r="O41" s="7" t="str">
        <f t="shared" si="0"/>
        <v>34–45</v>
      </c>
      <c r="P41" s="7" t="str">
        <f t="shared" si="1"/>
        <v>0.75&gt;1</v>
      </c>
      <c r="Q41" s="7" t="str">
        <f t="shared" si="2"/>
        <v>Apr</v>
      </c>
      <c r="R41" s="7" t="str">
        <f t="shared" si="3"/>
        <v>2023</v>
      </c>
    </row>
    <row r="42" spans="1:18" x14ac:dyDescent="0.3">
      <c r="A42" s="7" t="s">
        <v>215</v>
      </c>
      <c r="B42" s="7" t="s">
        <v>216</v>
      </c>
      <c r="C42" s="7" t="s">
        <v>31</v>
      </c>
      <c r="D42" s="8" t="s">
        <v>217</v>
      </c>
      <c r="E42" s="7" t="s">
        <v>218</v>
      </c>
      <c r="F42" s="7" t="s">
        <v>219</v>
      </c>
      <c r="G42" s="7">
        <v>4</v>
      </c>
      <c r="H42" s="7" t="b">
        <v>1</v>
      </c>
      <c r="I42" s="7" t="s">
        <v>19</v>
      </c>
      <c r="J42" s="7">
        <v>0.57999999999999996</v>
      </c>
      <c r="K42" s="7" t="s">
        <v>20</v>
      </c>
      <c r="L42" s="7">
        <v>27</v>
      </c>
      <c r="M42" s="7" t="s">
        <v>91</v>
      </c>
      <c r="N42" s="7" t="s">
        <v>544</v>
      </c>
      <c r="O42" s="7" t="str">
        <f t="shared" si="0"/>
        <v>26–33</v>
      </c>
      <c r="P42" s="7" t="str">
        <f t="shared" si="1"/>
        <v>0.5&gt;0.75</v>
      </c>
      <c r="Q42" s="7" t="str">
        <f t="shared" si="2"/>
        <v>Jul</v>
      </c>
      <c r="R42" s="7" t="str">
        <f t="shared" si="3"/>
        <v>2023</v>
      </c>
    </row>
    <row r="43" spans="1:18" x14ac:dyDescent="0.3">
      <c r="A43" s="7" t="s">
        <v>220</v>
      </c>
      <c r="B43" s="7" t="s">
        <v>161</v>
      </c>
      <c r="C43" s="7" t="s">
        <v>110</v>
      </c>
      <c r="D43" s="8" t="s">
        <v>221</v>
      </c>
      <c r="E43" s="7" t="s">
        <v>222</v>
      </c>
      <c r="F43" s="7" t="s">
        <v>223</v>
      </c>
      <c r="G43" s="7">
        <v>2</v>
      </c>
      <c r="H43" s="7" t="b">
        <v>0</v>
      </c>
      <c r="I43" s="7" t="s">
        <v>26</v>
      </c>
      <c r="J43" s="7">
        <v>-0.42</v>
      </c>
      <c r="K43" s="7" t="s">
        <v>20</v>
      </c>
      <c r="L43" s="7">
        <v>41</v>
      </c>
      <c r="M43" s="7" t="s">
        <v>164</v>
      </c>
      <c r="N43" s="7" t="s">
        <v>293</v>
      </c>
      <c r="O43" s="7" t="str">
        <f t="shared" si="0"/>
        <v>34–45</v>
      </c>
      <c r="P43" s="7" t="str">
        <f t="shared" si="1"/>
        <v>&gt;0.25</v>
      </c>
      <c r="Q43" s="7" t="str">
        <f t="shared" si="2"/>
        <v>May</v>
      </c>
      <c r="R43" s="7" t="str">
        <f t="shared" si="3"/>
        <v>2023</v>
      </c>
    </row>
    <row r="44" spans="1:18" x14ac:dyDescent="0.3">
      <c r="A44" s="7" t="s">
        <v>224</v>
      </c>
      <c r="B44" s="7" t="s">
        <v>225</v>
      </c>
      <c r="C44" s="7" t="s">
        <v>94</v>
      </c>
      <c r="D44" s="8" t="s">
        <v>226</v>
      </c>
      <c r="E44" s="7" t="s">
        <v>227</v>
      </c>
      <c r="F44" s="7" t="s">
        <v>228</v>
      </c>
      <c r="G44" s="7">
        <v>5</v>
      </c>
      <c r="H44" s="7" t="b">
        <v>1</v>
      </c>
      <c r="I44" s="7" t="s">
        <v>19</v>
      </c>
      <c r="J44" s="7">
        <v>0.96</v>
      </c>
      <c r="K44" s="7" t="s">
        <v>27</v>
      </c>
      <c r="L44" s="7">
        <v>46</v>
      </c>
      <c r="M44" s="7" t="s">
        <v>229</v>
      </c>
      <c r="N44" s="7" t="s">
        <v>601</v>
      </c>
      <c r="O44" s="7" t="str">
        <f t="shared" si="0"/>
        <v>46–55</v>
      </c>
      <c r="P44" s="7" t="str">
        <f t="shared" si="1"/>
        <v>0.75&gt;1</v>
      </c>
      <c r="Q44" s="7" t="str">
        <f t="shared" si="2"/>
        <v>Sep</v>
      </c>
      <c r="R44" s="7" t="str">
        <f t="shared" si="3"/>
        <v>2023</v>
      </c>
    </row>
    <row r="45" spans="1:18" x14ac:dyDescent="0.3">
      <c r="A45" s="7" t="s">
        <v>230</v>
      </c>
      <c r="B45" s="7" t="s">
        <v>871</v>
      </c>
      <c r="C45" s="7" t="s">
        <v>22</v>
      </c>
      <c r="D45" s="8" t="s">
        <v>231</v>
      </c>
      <c r="E45" s="7" t="s">
        <v>872</v>
      </c>
      <c r="F45" s="7" t="s">
        <v>233</v>
      </c>
      <c r="G45" s="7">
        <v>3</v>
      </c>
      <c r="H45" s="7" t="b">
        <v>1</v>
      </c>
      <c r="I45" s="7" t="s">
        <v>35</v>
      </c>
      <c r="J45" s="7">
        <v>0.08</v>
      </c>
      <c r="K45" s="7" t="s">
        <v>20</v>
      </c>
      <c r="L45" s="7">
        <v>33</v>
      </c>
      <c r="M45" s="7" t="s">
        <v>234</v>
      </c>
      <c r="N45" s="7" t="s">
        <v>281</v>
      </c>
      <c r="O45" s="7" t="str">
        <f t="shared" si="0"/>
        <v>26–33</v>
      </c>
      <c r="P45" s="7" t="str">
        <f t="shared" si="1"/>
        <v>&gt;0.25</v>
      </c>
      <c r="Q45" s="7" t="str">
        <f t="shared" si="2"/>
        <v>Jun</v>
      </c>
      <c r="R45" s="7" t="str">
        <f t="shared" si="3"/>
        <v>2023</v>
      </c>
    </row>
    <row r="46" spans="1:18" x14ac:dyDescent="0.3">
      <c r="A46" s="7" t="s">
        <v>235</v>
      </c>
      <c r="B46" s="7" t="s">
        <v>236</v>
      </c>
      <c r="C46" s="7" t="s">
        <v>58</v>
      </c>
      <c r="D46" s="8" t="s">
        <v>237</v>
      </c>
      <c r="E46" s="7" t="s">
        <v>238</v>
      </c>
      <c r="F46" s="7" t="s">
        <v>239</v>
      </c>
      <c r="G46" s="7">
        <v>4</v>
      </c>
      <c r="H46" s="7" t="b">
        <v>1</v>
      </c>
      <c r="I46" s="7" t="s">
        <v>19</v>
      </c>
      <c r="J46" s="7">
        <v>0.71</v>
      </c>
      <c r="K46" s="7" t="s">
        <v>848</v>
      </c>
      <c r="L46" s="7">
        <v>33</v>
      </c>
      <c r="M46" s="7" t="s">
        <v>848</v>
      </c>
      <c r="N46" s="7" t="s">
        <v>848</v>
      </c>
      <c r="O46" s="7" t="str">
        <f t="shared" si="0"/>
        <v>26–33</v>
      </c>
      <c r="P46" s="7" t="str">
        <f t="shared" si="1"/>
        <v>0.5&gt;0.75</v>
      </c>
      <c r="Q46" s="7" t="str">
        <f t="shared" si="2"/>
        <v>Aug</v>
      </c>
      <c r="R46" s="7" t="str">
        <f t="shared" si="3"/>
        <v>2023</v>
      </c>
    </row>
    <row r="47" spans="1:18" x14ac:dyDescent="0.3">
      <c r="A47" s="7" t="s">
        <v>240</v>
      </c>
      <c r="B47" s="7" t="s">
        <v>241</v>
      </c>
      <c r="C47" s="7" t="s">
        <v>64</v>
      </c>
      <c r="D47" s="8" t="s">
        <v>242</v>
      </c>
      <c r="E47" s="7" t="s">
        <v>243</v>
      </c>
      <c r="F47" s="7" t="s">
        <v>244</v>
      </c>
      <c r="G47" s="7">
        <v>2</v>
      </c>
      <c r="H47" s="7" t="b">
        <v>0</v>
      </c>
      <c r="I47" s="7" t="s">
        <v>26</v>
      </c>
      <c r="J47" s="7">
        <v>-0.62</v>
      </c>
      <c r="K47" s="7" t="s">
        <v>27</v>
      </c>
      <c r="L47" s="7">
        <v>42</v>
      </c>
      <c r="M47" s="7" t="s">
        <v>36</v>
      </c>
      <c r="N47" s="7" t="s">
        <v>309</v>
      </c>
      <c r="O47" s="7" t="str">
        <f t="shared" si="0"/>
        <v>34–45</v>
      </c>
      <c r="P47" s="7" t="str">
        <f t="shared" si="1"/>
        <v>&gt;0.25</v>
      </c>
      <c r="Q47" s="7" t="str">
        <f t="shared" si="2"/>
        <v>Mar</v>
      </c>
      <c r="R47" s="7" t="str">
        <f t="shared" si="3"/>
        <v>2023</v>
      </c>
    </row>
    <row r="48" spans="1:18" x14ac:dyDescent="0.3">
      <c r="A48" s="7" t="s">
        <v>245</v>
      </c>
      <c r="B48" s="7" t="s">
        <v>873</v>
      </c>
      <c r="C48" s="7" t="s">
        <v>46</v>
      </c>
      <c r="D48" s="8" t="s">
        <v>246</v>
      </c>
      <c r="E48" s="7" t="s">
        <v>247</v>
      </c>
      <c r="F48" s="7" t="s">
        <v>248</v>
      </c>
      <c r="G48" s="7">
        <v>5</v>
      </c>
      <c r="H48" s="7" t="b">
        <v>1</v>
      </c>
      <c r="I48" s="7" t="s">
        <v>19</v>
      </c>
      <c r="J48" s="7">
        <v>0.94</v>
      </c>
      <c r="K48" s="7" t="s">
        <v>20</v>
      </c>
      <c r="L48" s="7">
        <v>30</v>
      </c>
      <c r="M48" s="7" t="s">
        <v>249</v>
      </c>
      <c r="N48" s="7" t="s">
        <v>281</v>
      </c>
      <c r="O48" s="7" t="str">
        <f t="shared" si="0"/>
        <v>26–33</v>
      </c>
      <c r="P48" s="7" t="str">
        <f t="shared" si="1"/>
        <v>0.75&gt;1</v>
      </c>
      <c r="Q48" s="7" t="str">
        <f t="shared" si="2"/>
        <v>Jul</v>
      </c>
      <c r="R48" s="7" t="str">
        <f t="shared" si="3"/>
        <v>2023</v>
      </c>
    </row>
    <row r="49" spans="1:18" x14ac:dyDescent="0.3">
      <c r="A49" s="7" t="s">
        <v>250</v>
      </c>
      <c r="B49" s="7" t="s">
        <v>874</v>
      </c>
      <c r="C49" s="7" t="s">
        <v>22</v>
      </c>
      <c r="D49" s="8" t="s">
        <v>251</v>
      </c>
      <c r="E49" s="7" t="s">
        <v>252</v>
      </c>
      <c r="F49" s="7" t="s">
        <v>875</v>
      </c>
      <c r="G49" s="7">
        <v>1</v>
      </c>
      <c r="H49" s="7" t="b">
        <v>0</v>
      </c>
      <c r="I49" s="7" t="s">
        <v>26</v>
      </c>
      <c r="J49" s="7">
        <v>-0.87</v>
      </c>
      <c r="K49" s="7" t="s">
        <v>27</v>
      </c>
      <c r="L49" s="7">
        <v>39</v>
      </c>
      <c r="M49" s="7" t="s">
        <v>934</v>
      </c>
      <c r="N49" s="7" t="s">
        <v>281</v>
      </c>
      <c r="O49" s="7" t="str">
        <f t="shared" si="0"/>
        <v>34–45</v>
      </c>
      <c r="P49" s="7" t="str">
        <f t="shared" si="1"/>
        <v>&gt;0.25</v>
      </c>
      <c r="Q49" s="7" t="str">
        <f t="shared" si="2"/>
        <v>Aug</v>
      </c>
      <c r="R49" s="7" t="str">
        <f t="shared" si="3"/>
        <v>2023</v>
      </c>
    </row>
    <row r="50" spans="1:18" x14ac:dyDescent="0.3">
      <c r="A50" s="7" t="s">
        <v>253</v>
      </c>
      <c r="B50" s="7" t="s">
        <v>254</v>
      </c>
      <c r="C50" s="7" t="s">
        <v>64</v>
      </c>
      <c r="D50" s="8" t="s">
        <v>255</v>
      </c>
      <c r="E50" s="7" t="s">
        <v>256</v>
      </c>
      <c r="F50" s="7" t="s">
        <v>257</v>
      </c>
      <c r="G50" s="7">
        <v>4</v>
      </c>
      <c r="H50" s="7" t="b">
        <v>1</v>
      </c>
      <c r="I50" s="7" t="s">
        <v>19</v>
      </c>
      <c r="J50" s="7">
        <v>0.69</v>
      </c>
      <c r="K50" s="7" t="s">
        <v>20</v>
      </c>
      <c r="L50" s="7">
        <v>29</v>
      </c>
      <c r="M50" s="7" t="s">
        <v>851</v>
      </c>
      <c r="N50" s="7" t="s">
        <v>309</v>
      </c>
      <c r="O50" s="7" t="str">
        <f t="shared" si="0"/>
        <v>26–33</v>
      </c>
      <c r="P50" s="7" t="str">
        <f t="shared" si="1"/>
        <v>0.5&gt;0.75</v>
      </c>
      <c r="Q50" s="7" t="str">
        <f t="shared" si="2"/>
        <v>May</v>
      </c>
      <c r="R50" s="7" t="str">
        <f t="shared" si="3"/>
        <v>2023</v>
      </c>
    </row>
    <row r="51" spans="1:18" x14ac:dyDescent="0.3">
      <c r="A51" s="7" t="s">
        <v>259</v>
      </c>
      <c r="B51" s="7" t="s">
        <v>852</v>
      </c>
      <c r="C51" s="7" t="s">
        <v>38</v>
      </c>
      <c r="D51" s="8" t="s">
        <v>260</v>
      </c>
      <c r="E51" s="7" t="s">
        <v>261</v>
      </c>
      <c r="F51" s="7" t="s">
        <v>262</v>
      </c>
      <c r="G51" s="7">
        <v>4</v>
      </c>
      <c r="H51" s="7" t="b">
        <v>1</v>
      </c>
      <c r="I51" s="7" t="s">
        <v>19</v>
      </c>
      <c r="J51" s="7">
        <v>0.59</v>
      </c>
      <c r="K51" s="7" t="s">
        <v>20</v>
      </c>
      <c r="L51" s="7">
        <v>32</v>
      </c>
      <c r="M51" s="7" t="s">
        <v>935</v>
      </c>
      <c r="N51" s="7" t="s">
        <v>281</v>
      </c>
      <c r="O51" s="7" t="str">
        <f t="shared" si="0"/>
        <v>26–33</v>
      </c>
      <c r="P51" s="7" t="str">
        <f t="shared" si="1"/>
        <v>0.5&gt;0.75</v>
      </c>
      <c r="Q51" s="7" t="str">
        <f t="shared" si="2"/>
        <v>Jun</v>
      </c>
      <c r="R51" s="7" t="str">
        <f t="shared" si="3"/>
        <v>2023</v>
      </c>
    </row>
    <row r="52" spans="1:18" x14ac:dyDescent="0.3">
      <c r="A52" s="7" t="s">
        <v>263</v>
      </c>
      <c r="B52" s="7" t="s">
        <v>876</v>
      </c>
      <c r="C52" s="7" t="s">
        <v>264</v>
      </c>
      <c r="D52" s="8" t="s">
        <v>265</v>
      </c>
      <c r="E52" s="7" t="s">
        <v>266</v>
      </c>
      <c r="F52" s="7" t="s">
        <v>267</v>
      </c>
      <c r="G52" s="7">
        <v>5</v>
      </c>
      <c r="H52" s="7" t="b">
        <v>1</v>
      </c>
      <c r="I52" s="7" t="s">
        <v>19</v>
      </c>
      <c r="J52" s="7">
        <v>0.95</v>
      </c>
      <c r="K52" s="7" t="s">
        <v>20</v>
      </c>
      <c r="L52" s="7">
        <v>41</v>
      </c>
      <c r="M52" s="7" t="s">
        <v>135</v>
      </c>
      <c r="N52" s="7" t="s">
        <v>43</v>
      </c>
      <c r="O52" s="7" t="str">
        <f t="shared" si="0"/>
        <v>34–45</v>
      </c>
      <c r="P52" s="7" t="str">
        <f t="shared" si="1"/>
        <v>0.75&gt;1</v>
      </c>
      <c r="Q52" s="7" t="str">
        <f t="shared" si="2"/>
        <v>Mar</v>
      </c>
      <c r="R52" s="7" t="str">
        <f t="shared" si="3"/>
        <v>2023</v>
      </c>
    </row>
    <row r="53" spans="1:18" x14ac:dyDescent="0.3">
      <c r="A53" s="7" t="s">
        <v>268</v>
      </c>
      <c r="B53" s="7" t="s">
        <v>269</v>
      </c>
      <c r="C53" s="7" t="s">
        <v>270</v>
      </c>
      <c r="D53" s="8" t="s">
        <v>78</v>
      </c>
      <c r="E53" s="7" t="s">
        <v>271</v>
      </c>
      <c r="F53" s="7" t="s">
        <v>272</v>
      </c>
      <c r="G53" s="7">
        <v>2</v>
      </c>
      <c r="H53" s="7" t="b">
        <v>0</v>
      </c>
      <c r="I53" s="7" t="s">
        <v>26</v>
      </c>
      <c r="J53" s="7">
        <v>-0.72</v>
      </c>
      <c r="K53" s="7" t="s">
        <v>27</v>
      </c>
      <c r="L53" s="7">
        <v>36</v>
      </c>
      <c r="M53" s="7" t="s">
        <v>273</v>
      </c>
      <c r="N53" s="7" t="s">
        <v>274</v>
      </c>
      <c r="O53" s="7" t="str">
        <f t="shared" si="0"/>
        <v>34–45</v>
      </c>
      <c r="P53" s="7" t="str">
        <f t="shared" si="1"/>
        <v>&gt;0.25</v>
      </c>
      <c r="Q53" s="7" t="str">
        <f t="shared" si="2"/>
        <v>Mar</v>
      </c>
      <c r="R53" s="7" t="str">
        <f t="shared" si="3"/>
        <v>2023</v>
      </c>
    </row>
    <row r="54" spans="1:18" x14ac:dyDescent="0.3">
      <c r="A54" s="7" t="s">
        <v>275</v>
      </c>
      <c r="B54" s="7" t="s">
        <v>877</v>
      </c>
      <c r="C54" s="7" t="s">
        <v>276</v>
      </c>
      <c r="D54" s="8" t="s">
        <v>277</v>
      </c>
      <c r="E54" s="7" t="s">
        <v>278</v>
      </c>
      <c r="F54" s="7" t="s">
        <v>279</v>
      </c>
      <c r="G54" s="7">
        <v>3</v>
      </c>
      <c r="H54" s="7" t="b">
        <v>1</v>
      </c>
      <c r="I54" s="7" t="s">
        <v>35</v>
      </c>
      <c r="J54" s="7">
        <v>0.02</v>
      </c>
      <c r="K54" s="7" t="s">
        <v>20</v>
      </c>
      <c r="L54" s="7">
        <v>29</v>
      </c>
      <c r="M54" s="7" t="s">
        <v>280</v>
      </c>
      <c r="N54" s="7" t="s">
        <v>281</v>
      </c>
      <c r="O54" s="7" t="str">
        <f t="shared" si="0"/>
        <v>26–33</v>
      </c>
      <c r="P54" s="7" t="str">
        <f t="shared" si="1"/>
        <v>&gt;0.25</v>
      </c>
      <c r="Q54" s="7" t="str">
        <f t="shared" si="2"/>
        <v>Mar</v>
      </c>
      <c r="R54" s="7" t="str">
        <f t="shared" si="3"/>
        <v>2023</v>
      </c>
    </row>
    <row r="55" spans="1:18" x14ac:dyDescent="0.3">
      <c r="A55" s="7" t="s">
        <v>282</v>
      </c>
      <c r="B55" s="7" t="s">
        <v>283</v>
      </c>
      <c r="C55" s="7" t="s">
        <v>284</v>
      </c>
      <c r="D55" s="8" t="s">
        <v>242</v>
      </c>
      <c r="E55" s="7" t="s">
        <v>285</v>
      </c>
      <c r="F55" s="7" t="s">
        <v>286</v>
      </c>
      <c r="G55" s="7">
        <v>4</v>
      </c>
      <c r="H55" s="7" t="b">
        <v>0</v>
      </c>
      <c r="I55" s="7" t="s">
        <v>35</v>
      </c>
      <c r="J55" s="7">
        <v>0.12</v>
      </c>
      <c r="K55" s="7" t="s">
        <v>848</v>
      </c>
      <c r="L55" s="7">
        <v>33</v>
      </c>
      <c r="M55" s="7" t="s">
        <v>848</v>
      </c>
      <c r="N55" s="7" t="s">
        <v>848</v>
      </c>
      <c r="O55" s="7" t="str">
        <f t="shared" si="0"/>
        <v>26–33</v>
      </c>
      <c r="P55" s="7" t="str">
        <f t="shared" si="1"/>
        <v>&gt;0.25</v>
      </c>
      <c r="Q55" s="7" t="str">
        <f t="shared" si="2"/>
        <v>Mar</v>
      </c>
      <c r="R55" s="7" t="str">
        <f t="shared" si="3"/>
        <v>2023</v>
      </c>
    </row>
    <row r="56" spans="1:18" x14ac:dyDescent="0.3">
      <c r="A56" s="7" t="s">
        <v>287</v>
      </c>
      <c r="B56" s="7" t="s">
        <v>288</v>
      </c>
      <c r="C56" s="7" t="s">
        <v>289</v>
      </c>
      <c r="D56" s="8" t="s">
        <v>290</v>
      </c>
      <c r="E56" s="7" t="s">
        <v>291</v>
      </c>
      <c r="F56" s="7" t="s">
        <v>292</v>
      </c>
      <c r="G56" s="7">
        <v>5</v>
      </c>
      <c r="H56" s="7" t="b">
        <v>1</v>
      </c>
      <c r="I56" s="7" t="s">
        <v>19</v>
      </c>
      <c r="J56" s="7">
        <v>0.91</v>
      </c>
      <c r="K56" s="7" t="s">
        <v>848</v>
      </c>
      <c r="L56" s="7">
        <v>22</v>
      </c>
      <c r="M56" s="7" t="s">
        <v>164</v>
      </c>
      <c r="N56" s="7" t="s">
        <v>293</v>
      </c>
      <c r="O56" s="7" t="str">
        <f t="shared" si="0"/>
        <v>17–25</v>
      </c>
      <c r="P56" s="7" t="str">
        <f t="shared" si="1"/>
        <v>0.75&gt;1</v>
      </c>
      <c r="Q56" s="7" t="str">
        <f t="shared" si="2"/>
        <v>Mar</v>
      </c>
      <c r="R56" s="7" t="str">
        <f t="shared" si="3"/>
        <v>2023</v>
      </c>
    </row>
    <row r="57" spans="1:18" x14ac:dyDescent="0.3">
      <c r="A57" s="7" t="s">
        <v>294</v>
      </c>
      <c r="B57" s="7" t="s">
        <v>269</v>
      </c>
      <c r="C57" s="7" t="s">
        <v>295</v>
      </c>
      <c r="D57" s="8" t="s">
        <v>290</v>
      </c>
      <c r="E57" s="7" t="s">
        <v>296</v>
      </c>
      <c r="F57" s="7" t="s">
        <v>297</v>
      </c>
      <c r="G57" s="7">
        <v>1</v>
      </c>
      <c r="H57" s="7" t="b">
        <v>1</v>
      </c>
      <c r="I57" s="7" t="s">
        <v>26</v>
      </c>
      <c r="J57" s="7">
        <v>-0.86</v>
      </c>
      <c r="K57" s="7" t="s">
        <v>20</v>
      </c>
      <c r="L57" s="7">
        <v>51</v>
      </c>
      <c r="M57" s="7" t="s">
        <v>298</v>
      </c>
      <c r="N57" s="7" t="s">
        <v>299</v>
      </c>
      <c r="O57" s="7" t="str">
        <f t="shared" si="0"/>
        <v>46–55</v>
      </c>
      <c r="P57" s="7" t="str">
        <f t="shared" si="1"/>
        <v>&gt;0.25</v>
      </c>
      <c r="Q57" s="7" t="str">
        <f t="shared" si="2"/>
        <v>Mar</v>
      </c>
      <c r="R57" s="7" t="str">
        <f t="shared" si="3"/>
        <v>2023</v>
      </c>
    </row>
    <row r="58" spans="1:18" x14ac:dyDescent="0.3">
      <c r="A58" s="7" t="s">
        <v>300</v>
      </c>
      <c r="B58" s="7" t="s">
        <v>878</v>
      </c>
      <c r="C58" s="7" t="s">
        <v>270</v>
      </c>
      <c r="D58" s="8" t="s">
        <v>301</v>
      </c>
      <c r="E58" s="7" t="s">
        <v>302</v>
      </c>
      <c r="F58" s="7" t="s">
        <v>303</v>
      </c>
      <c r="G58" s="7">
        <v>4</v>
      </c>
      <c r="H58" s="7" t="b">
        <v>0</v>
      </c>
      <c r="I58" s="7" t="s">
        <v>19</v>
      </c>
      <c r="J58" s="7">
        <v>0.64</v>
      </c>
      <c r="K58" s="7" t="s">
        <v>27</v>
      </c>
      <c r="L58" s="7">
        <v>34</v>
      </c>
      <c r="M58" s="7" t="s">
        <v>28</v>
      </c>
      <c r="N58" s="7" t="s">
        <v>281</v>
      </c>
      <c r="O58" s="7" t="str">
        <f t="shared" si="0"/>
        <v>34–45</v>
      </c>
      <c r="P58" s="7" t="str">
        <f t="shared" si="1"/>
        <v>0.5&gt;0.75</v>
      </c>
      <c r="Q58" s="7" t="str">
        <f t="shared" si="2"/>
        <v>Mar</v>
      </c>
      <c r="R58" s="7" t="str">
        <f t="shared" si="3"/>
        <v>2023</v>
      </c>
    </row>
    <row r="59" spans="1:18" x14ac:dyDescent="0.3">
      <c r="A59" s="7" t="s">
        <v>304</v>
      </c>
      <c r="B59" s="7" t="s">
        <v>305</v>
      </c>
      <c r="C59" s="7" t="s">
        <v>284</v>
      </c>
      <c r="D59" s="8" t="s">
        <v>306</v>
      </c>
      <c r="E59" s="7" t="s">
        <v>307</v>
      </c>
      <c r="F59" s="7" t="s">
        <v>308</v>
      </c>
      <c r="G59" s="7">
        <v>5</v>
      </c>
      <c r="H59" s="7" t="b">
        <v>1</v>
      </c>
      <c r="I59" s="7" t="s">
        <v>19</v>
      </c>
      <c r="J59" s="7">
        <v>0.89</v>
      </c>
      <c r="K59" s="7" t="s">
        <v>20</v>
      </c>
      <c r="L59" s="7">
        <v>28</v>
      </c>
      <c r="M59" s="7" t="s">
        <v>126</v>
      </c>
      <c r="N59" s="7" t="s">
        <v>309</v>
      </c>
      <c r="O59" s="7" t="str">
        <f t="shared" si="0"/>
        <v>26–33</v>
      </c>
      <c r="P59" s="7" t="str">
        <f t="shared" si="1"/>
        <v>0.75&gt;1</v>
      </c>
      <c r="Q59" s="7" t="str">
        <f t="shared" si="2"/>
        <v>Mar</v>
      </c>
      <c r="R59" s="7" t="str">
        <f t="shared" si="3"/>
        <v>2023</v>
      </c>
    </row>
    <row r="60" spans="1:18" x14ac:dyDescent="0.3">
      <c r="A60" s="7" t="s">
        <v>310</v>
      </c>
      <c r="B60" s="7" t="s">
        <v>311</v>
      </c>
      <c r="C60" s="7" t="s">
        <v>264</v>
      </c>
      <c r="D60" s="8" t="s">
        <v>153</v>
      </c>
      <c r="E60" s="7" t="s">
        <v>312</v>
      </c>
      <c r="F60" s="7" t="s">
        <v>313</v>
      </c>
      <c r="G60" s="7">
        <v>2</v>
      </c>
      <c r="H60" s="7" t="b">
        <v>0</v>
      </c>
      <c r="I60" s="7" t="s">
        <v>26</v>
      </c>
      <c r="J60" s="7">
        <v>-0.61</v>
      </c>
      <c r="K60" s="7" t="s">
        <v>848</v>
      </c>
      <c r="L60" s="7">
        <v>47</v>
      </c>
      <c r="M60" s="7" t="s">
        <v>314</v>
      </c>
      <c r="N60" s="7" t="s">
        <v>315</v>
      </c>
      <c r="O60" s="7" t="str">
        <f t="shared" si="0"/>
        <v>46–55</v>
      </c>
      <c r="P60" s="7" t="str">
        <f t="shared" si="1"/>
        <v>&gt;0.25</v>
      </c>
      <c r="Q60" s="7" t="str">
        <f t="shared" si="2"/>
        <v>Mar</v>
      </c>
      <c r="R60" s="7" t="str">
        <f t="shared" si="3"/>
        <v>2023</v>
      </c>
    </row>
    <row r="61" spans="1:18" x14ac:dyDescent="0.3">
      <c r="A61" s="7" t="s">
        <v>316</v>
      </c>
      <c r="B61" s="7" t="s">
        <v>317</v>
      </c>
      <c r="C61" s="7" t="s">
        <v>318</v>
      </c>
      <c r="D61" s="8" t="s">
        <v>319</v>
      </c>
      <c r="E61" s="7" t="s">
        <v>320</v>
      </c>
      <c r="F61" s="7" t="s">
        <v>321</v>
      </c>
      <c r="G61" s="7">
        <v>3</v>
      </c>
      <c r="H61" s="7" t="b">
        <v>1</v>
      </c>
      <c r="I61" s="7" t="s">
        <v>35</v>
      </c>
      <c r="J61" s="7">
        <v>0.13</v>
      </c>
      <c r="K61" s="7" t="s">
        <v>848</v>
      </c>
      <c r="L61" s="7">
        <v>33</v>
      </c>
      <c r="M61" s="7" t="s">
        <v>848</v>
      </c>
      <c r="N61" s="7" t="s">
        <v>848</v>
      </c>
      <c r="O61" s="7" t="str">
        <f t="shared" si="0"/>
        <v>26–33</v>
      </c>
      <c r="P61" s="7" t="str">
        <f t="shared" si="1"/>
        <v>&gt;0.25</v>
      </c>
      <c r="Q61" s="7" t="str">
        <f t="shared" si="2"/>
        <v>Mar</v>
      </c>
      <c r="R61" s="7" t="str">
        <f t="shared" si="3"/>
        <v>2023</v>
      </c>
    </row>
    <row r="62" spans="1:18" x14ac:dyDescent="0.3">
      <c r="A62" s="7" t="s">
        <v>322</v>
      </c>
      <c r="B62" s="7" t="s">
        <v>323</v>
      </c>
      <c r="C62" s="7" t="s">
        <v>324</v>
      </c>
      <c r="D62" s="8" t="s">
        <v>319</v>
      </c>
      <c r="E62" s="7" t="s">
        <v>325</v>
      </c>
      <c r="F62" s="7" t="s">
        <v>326</v>
      </c>
      <c r="G62" s="7">
        <v>5</v>
      </c>
      <c r="H62" s="7" t="b">
        <v>1</v>
      </c>
      <c r="I62" s="7" t="s">
        <v>19</v>
      </c>
      <c r="J62" s="7">
        <v>0.99</v>
      </c>
      <c r="K62" s="7" t="s">
        <v>20</v>
      </c>
      <c r="L62" s="7">
        <v>23</v>
      </c>
      <c r="M62" s="7" t="s">
        <v>327</v>
      </c>
      <c r="N62" s="7" t="s">
        <v>328</v>
      </c>
      <c r="O62" s="7" t="str">
        <f t="shared" si="0"/>
        <v>17–25</v>
      </c>
      <c r="P62" s="7" t="str">
        <f t="shared" si="1"/>
        <v>0.75&gt;1</v>
      </c>
      <c r="Q62" s="7" t="str">
        <f t="shared" si="2"/>
        <v>Mar</v>
      </c>
      <c r="R62" s="7" t="str">
        <f t="shared" si="3"/>
        <v>2023</v>
      </c>
    </row>
    <row r="63" spans="1:18" x14ac:dyDescent="0.3">
      <c r="A63" s="7" t="s">
        <v>329</v>
      </c>
      <c r="B63" s="7" t="s">
        <v>330</v>
      </c>
      <c r="C63" s="7" t="s">
        <v>289</v>
      </c>
      <c r="D63" s="8" t="s">
        <v>331</v>
      </c>
      <c r="E63" s="7" t="s">
        <v>332</v>
      </c>
      <c r="F63" s="7" t="s">
        <v>333</v>
      </c>
      <c r="G63" s="7">
        <v>2</v>
      </c>
      <c r="H63" s="7" t="b">
        <v>0</v>
      </c>
      <c r="I63" s="7" t="s">
        <v>26</v>
      </c>
      <c r="J63" s="7">
        <v>-0.78</v>
      </c>
      <c r="K63" s="7" t="s">
        <v>27</v>
      </c>
      <c r="L63" s="7">
        <v>57</v>
      </c>
      <c r="M63" s="7" t="s">
        <v>334</v>
      </c>
      <c r="N63" s="7" t="s">
        <v>293</v>
      </c>
      <c r="O63" s="7" t="str">
        <f t="shared" si="0"/>
        <v>56-66</v>
      </c>
      <c r="P63" s="7" t="str">
        <f t="shared" si="1"/>
        <v>&gt;0.25</v>
      </c>
      <c r="Q63" s="7" t="str">
        <f t="shared" si="2"/>
        <v>Mar</v>
      </c>
      <c r="R63" s="7" t="str">
        <f t="shared" si="3"/>
        <v>2023</v>
      </c>
    </row>
    <row r="64" spans="1:18" x14ac:dyDescent="0.3">
      <c r="A64" s="7" t="s">
        <v>335</v>
      </c>
      <c r="B64" s="7" t="s">
        <v>878</v>
      </c>
      <c r="C64" s="7" t="s">
        <v>276</v>
      </c>
      <c r="D64" s="8" t="s">
        <v>331</v>
      </c>
      <c r="E64" s="7" t="s">
        <v>336</v>
      </c>
      <c r="F64" s="7" t="s">
        <v>337</v>
      </c>
      <c r="G64" s="7">
        <v>2</v>
      </c>
      <c r="H64" s="7" t="b">
        <v>0</v>
      </c>
      <c r="I64" s="7" t="s">
        <v>26</v>
      </c>
      <c r="J64" s="7">
        <v>-0.67</v>
      </c>
      <c r="K64" s="7" t="s">
        <v>27</v>
      </c>
      <c r="L64" s="7">
        <v>34</v>
      </c>
      <c r="M64" s="7" t="s">
        <v>28</v>
      </c>
      <c r="N64" s="7" t="s">
        <v>281</v>
      </c>
      <c r="O64" s="7" t="str">
        <f t="shared" si="0"/>
        <v>34–45</v>
      </c>
      <c r="P64" s="7" t="str">
        <f t="shared" si="1"/>
        <v>&gt;0.25</v>
      </c>
      <c r="Q64" s="7" t="str">
        <f t="shared" si="2"/>
        <v>Mar</v>
      </c>
      <c r="R64" s="7" t="str">
        <f t="shared" si="3"/>
        <v>2023</v>
      </c>
    </row>
    <row r="65" spans="1:18" x14ac:dyDescent="0.3">
      <c r="A65" s="7" t="s">
        <v>338</v>
      </c>
      <c r="B65" s="7" t="s">
        <v>339</v>
      </c>
      <c r="C65" s="7" t="s">
        <v>340</v>
      </c>
      <c r="D65" s="8" t="s">
        <v>341</v>
      </c>
      <c r="E65" s="7" t="s">
        <v>342</v>
      </c>
      <c r="F65" s="7" t="s">
        <v>343</v>
      </c>
      <c r="G65" s="7">
        <v>5</v>
      </c>
      <c r="H65" s="7" t="b">
        <v>1</v>
      </c>
      <c r="I65" s="7" t="s">
        <v>19</v>
      </c>
      <c r="J65" s="7">
        <v>0.87</v>
      </c>
      <c r="K65" s="7" t="s">
        <v>20</v>
      </c>
      <c r="L65" s="7">
        <v>33</v>
      </c>
      <c r="M65" s="7" t="s">
        <v>344</v>
      </c>
      <c r="N65" s="7" t="s">
        <v>345</v>
      </c>
      <c r="O65" s="7" t="str">
        <f t="shared" si="0"/>
        <v>26–33</v>
      </c>
      <c r="P65" s="7" t="str">
        <f t="shared" si="1"/>
        <v>0.75&gt;1</v>
      </c>
      <c r="Q65" s="7" t="str">
        <f t="shared" si="2"/>
        <v>Mar</v>
      </c>
      <c r="R65" s="7" t="str">
        <f t="shared" si="3"/>
        <v>2023</v>
      </c>
    </row>
    <row r="66" spans="1:18" x14ac:dyDescent="0.3">
      <c r="A66" s="7" t="s">
        <v>346</v>
      </c>
      <c r="B66" s="7" t="s">
        <v>347</v>
      </c>
      <c r="C66" s="7" t="s">
        <v>284</v>
      </c>
      <c r="D66" s="8" t="s">
        <v>203</v>
      </c>
      <c r="E66" s="7" t="s">
        <v>836</v>
      </c>
      <c r="F66" s="7" t="s">
        <v>348</v>
      </c>
      <c r="G66" s="7">
        <v>3</v>
      </c>
      <c r="H66" s="7" t="b">
        <v>0</v>
      </c>
      <c r="I66" s="7" t="s">
        <v>35</v>
      </c>
      <c r="J66" s="7">
        <v>0.54</v>
      </c>
      <c r="K66" s="7" t="s">
        <v>848</v>
      </c>
      <c r="L66" s="7">
        <v>33</v>
      </c>
      <c r="M66" s="7" t="s">
        <v>848</v>
      </c>
      <c r="N66" s="7" t="s">
        <v>848</v>
      </c>
      <c r="O66" s="7" t="str">
        <f t="shared" si="0"/>
        <v>26–33</v>
      </c>
      <c r="P66" s="7" t="str">
        <f t="shared" si="1"/>
        <v>0.5&gt;0.75</v>
      </c>
      <c r="Q66" s="7" t="str">
        <f t="shared" si="2"/>
        <v>Mar</v>
      </c>
      <c r="R66" s="7" t="str">
        <f t="shared" si="3"/>
        <v>2023</v>
      </c>
    </row>
    <row r="67" spans="1:18" x14ac:dyDescent="0.3">
      <c r="A67" s="7" t="s">
        <v>349</v>
      </c>
      <c r="B67" s="7" t="s">
        <v>305</v>
      </c>
      <c r="C67" s="7" t="s">
        <v>264</v>
      </c>
      <c r="D67" s="8" t="s">
        <v>350</v>
      </c>
      <c r="E67" s="7" t="s">
        <v>351</v>
      </c>
      <c r="F67" s="7" t="s">
        <v>352</v>
      </c>
      <c r="G67" s="7">
        <v>4</v>
      </c>
      <c r="H67" s="7" t="b">
        <v>1</v>
      </c>
      <c r="I67" s="7" t="s">
        <v>19</v>
      </c>
      <c r="J67" s="7">
        <v>0.68</v>
      </c>
      <c r="K67" s="7" t="s">
        <v>20</v>
      </c>
      <c r="L67" s="7">
        <v>28</v>
      </c>
      <c r="M67" s="7" t="s">
        <v>126</v>
      </c>
      <c r="N67" s="7" t="s">
        <v>309</v>
      </c>
      <c r="O67" s="7" t="str">
        <f t="shared" ref="O67:O130" si="4">IF(L67&lt;=25,"17–25",IF(L67&lt;=33,"26–33",IF(L67&lt;=45,"34–45",IF(L67&lt;=55,"46–55","56-66"))))</f>
        <v>26–33</v>
      </c>
      <c r="P67" s="7" t="str">
        <f t="shared" ref="P67:P130" si="5">IF(J67&lt;0.25,"&gt;0.25",IF(J67&lt;0.5,"0.25&gt;0.5",IF(J67&lt;0.75,"0.5&gt;0.75","0.75&gt;1")))</f>
        <v>0.5&gt;0.75</v>
      </c>
      <c r="Q67" s="7" t="str">
        <f t="shared" ref="Q67:Q130" si="6">TEXT(D67,"MMM")</f>
        <v>Mar</v>
      </c>
      <c r="R67" s="7" t="str">
        <f t="shared" ref="R67:R130" si="7">TEXT(D67,"YYY")</f>
        <v>2023</v>
      </c>
    </row>
    <row r="68" spans="1:18" x14ac:dyDescent="0.3">
      <c r="A68" s="7" t="s">
        <v>353</v>
      </c>
      <c r="B68" s="7" t="s">
        <v>876</v>
      </c>
      <c r="C68" s="7" t="s">
        <v>324</v>
      </c>
      <c r="D68" s="8" t="s">
        <v>354</v>
      </c>
      <c r="E68" s="7" t="s">
        <v>355</v>
      </c>
      <c r="F68" s="7" t="s">
        <v>356</v>
      </c>
      <c r="G68" s="7">
        <v>2</v>
      </c>
      <c r="H68" s="7" t="b">
        <v>0</v>
      </c>
      <c r="I68" s="7" t="s">
        <v>26</v>
      </c>
      <c r="J68" s="7">
        <v>-0.57999999999999996</v>
      </c>
      <c r="K68" s="7" t="s">
        <v>20</v>
      </c>
      <c r="L68" s="7">
        <v>41</v>
      </c>
      <c r="M68" s="7" t="s">
        <v>135</v>
      </c>
      <c r="N68" s="7" t="s">
        <v>43</v>
      </c>
      <c r="O68" s="7" t="str">
        <f t="shared" si="4"/>
        <v>34–45</v>
      </c>
      <c r="P68" s="7" t="str">
        <f t="shared" si="5"/>
        <v>&gt;0.25</v>
      </c>
      <c r="Q68" s="7" t="str">
        <f t="shared" si="6"/>
        <v>Apr</v>
      </c>
      <c r="R68" s="7" t="str">
        <f t="shared" si="7"/>
        <v>2023</v>
      </c>
    </row>
    <row r="69" spans="1:18" x14ac:dyDescent="0.3">
      <c r="A69" s="7" t="s">
        <v>357</v>
      </c>
      <c r="B69" s="7" t="s">
        <v>358</v>
      </c>
      <c r="C69" s="7" t="s">
        <v>295</v>
      </c>
      <c r="D69" s="8" t="s">
        <v>354</v>
      </c>
      <c r="E69" s="7" t="s">
        <v>232</v>
      </c>
      <c r="F69" s="7" t="s">
        <v>359</v>
      </c>
      <c r="G69" s="7">
        <v>3</v>
      </c>
      <c r="H69" s="7" t="b">
        <v>1</v>
      </c>
      <c r="I69" s="7" t="s">
        <v>35</v>
      </c>
      <c r="J69" s="7">
        <v>-0.06</v>
      </c>
      <c r="K69" s="7" t="s">
        <v>27</v>
      </c>
      <c r="L69" s="7">
        <v>39</v>
      </c>
      <c r="M69" s="7" t="s">
        <v>181</v>
      </c>
      <c r="N69" s="7" t="s">
        <v>360</v>
      </c>
      <c r="O69" s="7" t="str">
        <f t="shared" si="4"/>
        <v>34–45</v>
      </c>
      <c r="P69" s="7" t="str">
        <f t="shared" si="5"/>
        <v>&gt;0.25</v>
      </c>
      <c r="Q69" s="7" t="str">
        <f t="shared" si="6"/>
        <v>Apr</v>
      </c>
      <c r="R69" s="7" t="str">
        <f t="shared" si="7"/>
        <v>2023</v>
      </c>
    </row>
    <row r="70" spans="1:18" x14ac:dyDescent="0.3">
      <c r="A70" s="7" t="s">
        <v>361</v>
      </c>
      <c r="B70" s="7" t="s">
        <v>362</v>
      </c>
      <c r="C70" s="7" t="s">
        <v>318</v>
      </c>
      <c r="D70" s="8" t="s">
        <v>363</v>
      </c>
      <c r="E70" s="7" t="s">
        <v>364</v>
      </c>
      <c r="F70" s="7" t="s">
        <v>365</v>
      </c>
      <c r="G70" s="7">
        <v>5</v>
      </c>
      <c r="H70" s="7" t="b">
        <v>1</v>
      </c>
      <c r="I70" s="7" t="s">
        <v>19</v>
      </c>
      <c r="J70" s="7">
        <v>0.93</v>
      </c>
      <c r="K70" s="7" t="s">
        <v>20</v>
      </c>
      <c r="L70" s="7">
        <v>24</v>
      </c>
      <c r="M70" s="7" t="s">
        <v>366</v>
      </c>
      <c r="N70" s="7" t="s">
        <v>367</v>
      </c>
      <c r="O70" s="7" t="str">
        <f t="shared" si="4"/>
        <v>17–25</v>
      </c>
      <c r="P70" s="7" t="str">
        <f t="shared" si="5"/>
        <v>0.75&gt;1</v>
      </c>
      <c r="Q70" s="7" t="str">
        <f t="shared" si="6"/>
        <v>Apr</v>
      </c>
      <c r="R70" s="7" t="str">
        <f t="shared" si="7"/>
        <v>2023</v>
      </c>
    </row>
    <row r="71" spans="1:18" x14ac:dyDescent="0.3">
      <c r="A71" s="7" t="s">
        <v>368</v>
      </c>
      <c r="B71" s="7" t="s">
        <v>311</v>
      </c>
      <c r="C71" s="7" t="s">
        <v>324</v>
      </c>
      <c r="D71" s="8" t="s">
        <v>363</v>
      </c>
      <c r="E71" s="7" t="s">
        <v>369</v>
      </c>
      <c r="F71" s="7" t="s">
        <v>370</v>
      </c>
      <c r="G71" s="7">
        <v>3</v>
      </c>
      <c r="H71" s="7" t="b">
        <v>0</v>
      </c>
      <c r="I71" s="7" t="s">
        <v>35</v>
      </c>
      <c r="J71" s="7">
        <v>0.05</v>
      </c>
      <c r="K71" s="7" t="s">
        <v>848</v>
      </c>
      <c r="L71" s="7">
        <v>47</v>
      </c>
      <c r="M71" s="7" t="s">
        <v>314</v>
      </c>
      <c r="N71" s="7" t="s">
        <v>315</v>
      </c>
      <c r="O71" s="7" t="str">
        <f t="shared" si="4"/>
        <v>46–55</v>
      </c>
      <c r="P71" s="7" t="str">
        <f t="shared" si="5"/>
        <v>&gt;0.25</v>
      </c>
      <c r="Q71" s="7" t="str">
        <f t="shared" si="6"/>
        <v>Apr</v>
      </c>
      <c r="R71" s="7" t="str">
        <f t="shared" si="7"/>
        <v>2023</v>
      </c>
    </row>
    <row r="72" spans="1:18" x14ac:dyDescent="0.3">
      <c r="A72" s="7" t="s">
        <v>371</v>
      </c>
      <c r="B72" s="7" t="s">
        <v>283</v>
      </c>
      <c r="C72" s="7" t="s">
        <v>289</v>
      </c>
      <c r="D72" s="8" t="s">
        <v>372</v>
      </c>
      <c r="E72" s="7" t="s">
        <v>252</v>
      </c>
      <c r="F72" s="7" t="s">
        <v>373</v>
      </c>
      <c r="G72" s="7">
        <v>2</v>
      </c>
      <c r="H72" s="7" t="b">
        <v>0</v>
      </c>
      <c r="I72" s="7" t="s">
        <v>26</v>
      </c>
      <c r="J72" s="7">
        <v>-0.71</v>
      </c>
      <c r="K72" s="7" t="s">
        <v>848</v>
      </c>
      <c r="L72" s="7">
        <v>33</v>
      </c>
      <c r="M72" s="7" t="s">
        <v>848</v>
      </c>
      <c r="N72" s="7" t="s">
        <v>848</v>
      </c>
      <c r="O72" s="7" t="str">
        <f t="shared" si="4"/>
        <v>26–33</v>
      </c>
      <c r="P72" s="7" t="str">
        <f t="shared" si="5"/>
        <v>&gt;0.25</v>
      </c>
      <c r="Q72" s="7" t="str">
        <f t="shared" si="6"/>
        <v>Apr</v>
      </c>
      <c r="R72" s="7" t="str">
        <f t="shared" si="7"/>
        <v>2023</v>
      </c>
    </row>
    <row r="73" spans="1:18" x14ac:dyDescent="0.3">
      <c r="A73" s="7" t="s">
        <v>374</v>
      </c>
      <c r="B73" s="7" t="s">
        <v>288</v>
      </c>
      <c r="C73" s="7" t="s">
        <v>276</v>
      </c>
      <c r="D73" s="8" t="s">
        <v>372</v>
      </c>
      <c r="E73" s="7" t="s">
        <v>375</v>
      </c>
      <c r="F73" s="7" t="s">
        <v>376</v>
      </c>
      <c r="G73" s="7">
        <v>4</v>
      </c>
      <c r="H73" s="7" t="b">
        <v>1</v>
      </c>
      <c r="I73" s="7" t="s">
        <v>19</v>
      </c>
      <c r="J73" s="7">
        <v>0.66</v>
      </c>
      <c r="K73" s="7" t="s">
        <v>848</v>
      </c>
      <c r="L73" s="7">
        <v>22</v>
      </c>
      <c r="M73" s="7" t="s">
        <v>164</v>
      </c>
      <c r="N73" s="7" t="s">
        <v>293</v>
      </c>
      <c r="O73" s="7" t="str">
        <f t="shared" si="4"/>
        <v>17–25</v>
      </c>
      <c r="P73" s="7" t="str">
        <f t="shared" si="5"/>
        <v>0.5&gt;0.75</v>
      </c>
      <c r="Q73" s="7" t="str">
        <f t="shared" si="6"/>
        <v>Apr</v>
      </c>
      <c r="R73" s="7" t="str">
        <f t="shared" si="7"/>
        <v>2023</v>
      </c>
    </row>
    <row r="74" spans="1:18" x14ac:dyDescent="0.3">
      <c r="A74" s="7" t="s">
        <v>377</v>
      </c>
      <c r="B74" s="7" t="s">
        <v>378</v>
      </c>
      <c r="C74" s="7" t="s">
        <v>295</v>
      </c>
      <c r="D74" s="8" t="s">
        <v>379</v>
      </c>
      <c r="E74" s="7" t="s">
        <v>380</v>
      </c>
      <c r="F74" s="7" t="s">
        <v>381</v>
      </c>
      <c r="G74" s="7">
        <v>2</v>
      </c>
      <c r="H74" s="7" t="b">
        <v>0</v>
      </c>
      <c r="I74" s="7" t="s">
        <v>26</v>
      </c>
      <c r="J74" s="7">
        <v>-0.55000000000000004</v>
      </c>
      <c r="K74" s="7" t="s">
        <v>20</v>
      </c>
      <c r="L74" s="7">
        <v>44</v>
      </c>
      <c r="M74" s="7" t="s">
        <v>382</v>
      </c>
      <c r="N74" s="7" t="s">
        <v>299</v>
      </c>
      <c r="O74" s="7" t="str">
        <f t="shared" si="4"/>
        <v>34–45</v>
      </c>
      <c r="P74" s="7" t="str">
        <f t="shared" si="5"/>
        <v>&gt;0.25</v>
      </c>
      <c r="Q74" s="7" t="str">
        <f t="shared" si="6"/>
        <v>Apr</v>
      </c>
      <c r="R74" s="7" t="str">
        <f t="shared" si="7"/>
        <v>2023</v>
      </c>
    </row>
    <row r="75" spans="1:18" x14ac:dyDescent="0.3">
      <c r="A75" s="7" t="s">
        <v>383</v>
      </c>
      <c r="B75" s="7" t="s">
        <v>384</v>
      </c>
      <c r="C75" s="7" t="s">
        <v>340</v>
      </c>
      <c r="D75" s="8" t="s">
        <v>385</v>
      </c>
      <c r="E75" s="7" t="s">
        <v>386</v>
      </c>
      <c r="F75" s="7" t="s">
        <v>387</v>
      </c>
      <c r="G75" s="7">
        <v>5</v>
      </c>
      <c r="H75" s="7" t="b">
        <v>1</v>
      </c>
      <c r="I75" s="7" t="s">
        <v>19</v>
      </c>
      <c r="J75" s="7">
        <v>0.92</v>
      </c>
      <c r="K75" s="7" t="s">
        <v>27</v>
      </c>
      <c r="L75" s="7">
        <v>38</v>
      </c>
      <c r="M75" s="7" t="s">
        <v>388</v>
      </c>
      <c r="N75" s="7" t="s">
        <v>389</v>
      </c>
      <c r="O75" s="7" t="str">
        <f t="shared" si="4"/>
        <v>34–45</v>
      </c>
      <c r="P75" s="7" t="str">
        <f t="shared" si="5"/>
        <v>0.75&gt;1</v>
      </c>
      <c r="Q75" s="7" t="str">
        <f t="shared" si="6"/>
        <v>Apr</v>
      </c>
      <c r="R75" s="7" t="str">
        <f t="shared" si="7"/>
        <v>2023</v>
      </c>
    </row>
    <row r="76" spans="1:18" x14ac:dyDescent="0.3">
      <c r="A76" s="7" t="s">
        <v>390</v>
      </c>
      <c r="B76" s="7" t="s">
        <v>317</v>
      </c>
      <c r="C76" s="7" t="s">
        <v>270</v>
      </c>
      <c r="D76" s="8" t="s">
        <v>385</v>
      </c>
      <c r="E76" s="7" t="s">
        <v>391</v>
      </c>
      <c r="F76" s="7" t="s">
        <v>392</v>
      </c>
      <c r="G76" s="7">
        <v>3</v>
      </c>
      <c r="H76" s="7" t="b">
        <v>0</v>
      </c>
      <c r="I76" s="7" t="s">
        <v>35</v>
      </c>
      <c r="J76" s="7">
        <v>-0.03</v>
      </c>
      <c r="K76" s="7" t="s">
        <v>848</v>
      </c>
      <c r="L76" s="7">
        <v>33</v>
      </c>
      <c r="M76" s="7" t="s">
        <v>848</v>
      </c>
      <c r="N76" s="7" t="s">
        <v>848</v>
      </c>
      <c r="O76" s="7" t="str">
        <f t="shared" si="4"/>
        <v>26–33</v>
      </c>
      <c r="P76" s="7" t="str">
        <f t="shared" si="5"/>
        <v>&gt;0.25</v>
      </c>
      <c r="Q76" s="7" t="str">
        <f t="shared" si="6"/>
        <v>Apr</v>
      </c>
      <c r="R76" s="7" t="str">
        <f t="shared" si="7"/>
        <v>2023</v>
      </c>
    </row>
    <row r="77" spans="1:18" x14ac:dyDescent="0.3">
      <c r="A77" s="7" t="s">
        <v>393</v>
      </c>
      <c r="B77" s="7" t="s">
        <v>358</v>
      </c>
      <c r="C77" s="7" t="s">
        <v>284</v>
      </c>
      <c r="D77" s="8" t="s">
        <v>394</v>
      </c>
      <c r="E77" s="7" t="s">
        <v>395</v>
      </c>
      <c r="F77" s="7" t="s">
        <v>396</v>
      </c>
      <c r="G77" s="7">
        <v>4</v>
      </c>
      <c r="H77" s="7" t="b">
        <v>1</v>
      </c>
      <c r="I77" s="7" t="s">
        <v>19</v>
      </c>
      <c r="J77" s="7">
        <v>0.83</v>
      </c>
      <c r="K77" s="7" t="s">
        <v>27</v>
      </c>
      <c r="L77" s="7">
        <v>39</v>
      </c>
      <c r="M77" s="7" t="s">
        <v>181</v>
      </c>
      <c r="N77" s="7" t="s">
        <v>360</v>
      </c>
      <c r="O77" s="7" t="str">
        <f t="shared" si="4"/>
        <v>34–45</v>
      </c>
      <c r="P77" s="7" t="str">
        <f t="shared" si="5"/>
        <v>0.75&gt;1</v>
      </c>
      <c r="Q77" s="7" t="str">
        <f t="shared" si="6"/>
        <v>Apr</v>
      </c>
      <c r="R77" s="7" t="str">
        <f t="shared" si="7"/>
        <v>2023</v>
      </c>
    </row>
    <row r="78" spans="1:18" x14ac:dyDescent="0.3">
      <c r="A78" s="7" t="s">
        <v>397</v>
      </c>
      <c r="B78" s="7" t="s">
        <v>323</v>
      </c>
      <c r="C78" s="7" t="s">
        <v>318</v>
      </c>
      <c r="D78" s="8" t="s">
        <v>394</v>
      </c>
      <c r="E78" s="7" t="s">
        <v>398</v>
      </c>
      <c r="F78" s="7" t="s">
        <v>399</v>
      </c>
      <c r="G78" s="7">
        <v>3</v>
      </c>
      <c r="H78" s="7" t="b">
        <v>0</v>
      </c>
      <c r="I78" s="7" t="s">
        <v>35</v>
      </c>
      <c r="J78" s="7">
        <v>0.1</v>
      </c>
      <c r="K78" s="7" t="s">
        <v>20</v>
      </c>
      <c r="L78" s="7">
        <v>23</v>
      </c>
      <c r="M78" s="7" t="s">
        <v>327</v>
      </c>
      <c r="N78" s="7" t="s">
        <v>328</v>
      </c>
      <c r="O78" s="7" t="str">
        <f t="shared" si="4"/>
        <v>17–25</v>
      </c>
      <c r="P78" s="7" t="str">
        <f t="shared" si="5"/>
        <v>&gt;0.25</v>
      </c>
      <c r="Q78" s="7" t="str">
        <f t="shared" si="6"/>
        <v>Apr</v>
      </c>
      <c r="R78" s="7" t="str">
        <f t="shared" si="7"/>
        <v>2023</v>
      </c>
    </row>
    <row r="79" spans="1:18" x14ac:dyDescent="0.3">
      <c r="A79" s="7" t="s">
        <v>400</v>
      </c>
      <c r="B79" s="7" t="s">
        <v>347</v>
      </c>
      <c r="C79" s="7" t="s">
        <v>340</v>
      </c>
      <c r="D79" s="8" t="s">
        <v>401</v>
      </c>
      <c r="E79" s="7" t="s">
        <v>402</v>
      </c>
      <c r="F79" s="7" t="s">
        <v>403</v>
      </c>
      <c r="G79" s="7">
        <v>1</v>
      </c>
      <c r="H79" s="7" t="b">
        <v>1</v>
      </c>
      <c r="I79" s="7" t="s">
        <v>26</v>
      </c>
      <c r="J79" s="7">
        <v>-0.97</v>
      </c>
      <c r="K79" s="7" t="s">
        <v>848</v>
      </c>
      <c r="L79" s="7">
        <v>33</v>
      </c>
      <c r="M79" s="7" t="s">
        <v>848</v>
      </c>
      <c r="N79" s="7" t="s">
        <v>848</v>
      </c>
      <c r="O79" s="7" t="str">
        <f t="shared" si="4"/>
        <v>26–33</v>
      </c>
      <c r="P79" s="7" t="str">
        <f t="shared" si="5"/>
        <v>&gt;0.25</v>
      </c>
      <c r="Q79" s="7" t="str">
        <f t="shared" si="6"/>
        <v>Apr</v>
      </c>
      <c r="R79" s="7" t="str">
        <f t="shared" si="7"/>
        <v>2023</v>
      </c>
    </row>
    <row r="80" spans="1:18" x14ac:dyDescent="0.3">
      <c r="A80" s="7" t="s">
        <v>404</v>
      </c>
      <c r="B80" s="7" t="s">
        <v>362</v>
      </c>
      <c r="C80" s="7" t="s">
        <v>284</v>
      </c>
      <c r="D80" s="8" t="s">
        <v>405</v>
      </c>
      <c r="E80" s="7" t="s">
        <v>406</v>
      </c>
      <c r="F80" s="7" t="s">
        <v>407</v>
      </c>
      <c r="G80" s="7">
        <v>4</v>
      </c>
      <c r="H80" s="7" t="b">
        <v>1</v>
      </c>
      <c r="I80" s="7" t="s">
        <v>19</v>
      </c>
      <c r="J80" s="7">
        <v>0.77</v>
      </c>
      <c r="K80" s="7" t="s">
        <v>20</v>
      </c>
      <c r="L80" s="7">
        <v>24</v>
      </c>
      <c r="M80" s="7" t="s">
        <v>366</v>
      </c>
      <c r="N80" s="7" t="s">
        <v>367</v>
      </c>
      <c r="O80" s="7" t="str">
        <f t="shared" si="4"/>
        <v>17–25</v>
      </c>
      <c r="P80" s="7" t="str">
        <f t="shared" si="5"/>
        <v>0.75&gt;1</v>
      </c>
      <c r="Q80" s="7" t="str">
        <f t="shared" si="6"/>
        <v>Apr</v>
      </c>
      <c r="R80" s="7" t="str">
        <f t="shared" si="7"/>
        <v>2023</v>
      </c>
    </row>
    <row r="81" spans="1:18" x14ac:dyDescent="0.3">
      <c r="A81" s="7" t="s">
        <v>408</v>
      </c>
      <c r="B81" s="7" t="s">
        <v>378</v>
      </c>
      <c r="C81" s="7" t="s">
        <v>276</v>
      </c>
      <c r="D81" s="8" t="s">
        <v>405</v>
      </c>
      <c r="E81" s="7" t="s">
        <v>409</v>
      </c>
      <c r="F81" s="7" t="s">
        <v>410</v>
      </c>
      <c r="G81" s="7">
        <v>3</v>
      </c>
      <c r="H81" s="7" t="b">
        <v>0</v>
      </c>
      <c r="I81" s="7" t="s">
        <v>35</v>
      </c>
      <c r="J81" s="7">
        <v>0</v>
      </c>
      <c r="K81" s="7" t="s">
        <v>20</v>
      </c>
      <c r="L81" s="7">
        <v>44</v>
      </c>
      <c r="M81" s="7" t="s">
        <v>382</v>
      </c>
      <c r="N81" s="7" t="s">
        <v>299</v>
      </c>
      <c r="O81" s="7" t="str">
        <f t="shared" si="4"/>
        <v>34–45</v>
      </c>
      <c r="P81" s="7" t="str">
        <f t="shared" si="5"/>
        <v>&gt;0.25</v>
      </c>
      <c r="Q81" s="7" t="str">
        <f t="shared" si="6"/>
        <v>Apr</v>
      </c>
      <c r="R81" s="7" t="str">
        <f t="shared" si="7"/>
        <v>2023</v>
      </c>
    </row>
    <row r="82" spans="1:18" x14ac:dyDescent="0.3">
      <c r="A82" s="7" t="s">
        <v>411</v>
      </c>
      <c r="B82" s="7" t="s">
        <v>384</v>
      </c>
      <c r="C82" s="7" t="s">
        <v>270</v>
      </c>
      <c r="D82" s="8" t="s">
        <v>412</v>
      </c>
      <c r="E82" s="7" t="s">
        <v>124</v>
      </c>
      <c r="F82" s="7" t="s">
        <v>413</v>
      </c>
      <c r="G82" s="7">
        <v>5</v>
      </c>
      <c r="H82" s="7" t="b">
        <v>1</v>
      </c>
      <c r="I82" s="7" t="s">
        <v>19</v>
      </c>
      <c r="J82" s="7">
        <v>1</v>
      </c>
      <c r="K82" s="7" t="s">
        <v>27</v>
      </c>
      <c r="L82" s="7">
        <v>38</v>
      </c>
      <c r="M82" s="7" t="s">
        <v>388</v>
      </c>
      <c r="N82" s="7" t="s">
        <v>389</v>
      </c>
      <c r="O82" s="7" t="str">
        <f t="shared" si="4"/>
        <v>34–45</v>
      </c>
      <c r="P82" s="7" t="str">
        <f t="shared" si="5"/>
        <v>0.75&gt;1</v>
      </c>
      <c r="Q82" s="7" t="str">
        <f t="shared" si="6"/>
        <v>Apr</v>
      </c>
      <c r="R82" s="7" t="str">
        <f t="shared" si="7"/>
        <v>2023</v>
      </c>
    </row>
    <row r="83" spans="1:18" x14ac:dyDescent="0.3">
      <c r="A83" s="7" t="s">
        <v>414</v>
      </c>
      <c r="B83" s="7" t="s">
        <v>339</v>
      </c>
      <c r="C83" s="7" t="s">
        <v>289</v>
      </c>
      <c r="D83" s="8" t="s">
        <v>412</v>
      </c>
      <c r="E83" s="7" t="s">
        <v>837</v>
      </c>
      <c r="F83" s="7" t="s">
        <v>415</v>
      </c>
      <c r="G83" s="7">
        <v>2</v>
      </c>
      <c r="H83" s="7" t="b">
        <v>0</v>
      </c>
      <c r="I83" s="7" t="s">
        <v>26</v>
      </c>
      <c r="J83" s="7">
        <v>0.48</v>
      </c>
      <c r="K83" s="7" t="s">
        <v>848</v>
      </c>
      <c r="L83" s="7">
        <v>33</v>
      </c>
      <c r="M83" s="7" t="s">
        <v>848</v>
      </c>
      <c r="N83" s="7" t="s">
        <v>848</v>
      </c>
      <c r="O83" s="7" t="str">
        <f t="shared" si="4"/>
        <v>26–33</v>
      </c>
      <c r="P83" s="7" t="str">
        <f t="shared" si="5"/>
        <v>0.25&gt;0.5</v>
      </c>
      <c r="Q83" s="7" t="str">
        <f t="shared" si="6"/>
        <v>Apr</v>
      </c>
      <c r="R83" s="7" t="str">
        <f t="shared" si="7"/>
        <v>2023</v>
      </c>
    </row>
    <row r="84" spans="1:18" x14ac:dyDescent="0.3">
      <c r="A84" s="7" t="s">
        <v>416</v>
      </c>
      <c r="B84" s="7" t="s">
        <v>330</v>
      </c>
      <c r="C84" s="7" t="s">
        <v>340</v>
      </c>
      <c r="D84" s="8" t="s">
        <v>417</v>
      </c>
      <c r="E84" s="7" t="s">
        <v>418</v>
      </c>
      <c r="F84" s="7" t="s">
        <v>419</v>
      </c>
      <c r="G84" s="7">
        <v>4</v>
      </c>
      <c r="H84" s="7" t="b">
        <v>1</v>
      </c>
      <c r="I84" s="7" t="s">
        <v>19</v>
      </c>
      <c r="J84" s="7">
        <v>0.74</v>
      </c>
      <c r="K84" s="7" t="s">
        <v>27</v>
      </c>
      <c r="L84" s="7">
        <v>57</v>
      </c>
      <c r="M84" s="7" t="s">
        <v>334</v>
      </c>
      <c r="N84" s="7" t="s">
        <v>293</v>
      </c>
      <c r="O84" s="7" t="str">
        <f t="shared" si="4"/>
        <v>56-66</v>
      </c>
      <c r="P84" s="7" t="str">
        <f t="shared" si="5"/>
        <v>0.5&gt;0.75</v>
      </c>
      <c r="Q84" s="7" t="str">
        <f t="shared" si="6"/>
        <v>Apr</v>
      </c>
      <c r="R84" s="7" t="str">
        <f t="shared" si="7"/>
        <v>2023</v>
      </c>
    </row>
    <row r="85" spans="1:18" x14ac:dyDescent="0.3">
      <c r="A85" s="7" t="s">
        <v>420</v>
      </c>
      <c r="B85" s="7" t="s">
        <v>876</v>
      </c>
      <c r="C85" s="7" t="s">
        <v>295</v>
      </c>
      <c r="D85" s="8" t="s">
        <v>417</v>
      </c>
      <c r="E85" s="7" t="s">
        <v>66</v>
      </c>
      <c r="F85" s="7" t="s">
        <v>421</v>
      </c>
      <c r="G85" s="7">
        <v>1</v>
      </c>
      <c r="H85" s="7" t="b">
        <v>0</v>
      </c>
      <c r="I85" s="7" t="s">
        <v>26</v>
      </c>
      <c r="J85" s="7">
        <v>-1</v>
      </c>
      <c r="K85" s="7" t="s">
        <v>20</v>
      </c>
      <c r="L85" s="7">
        <v>41</v>
      </c>
      <c r="M85" s="7" t="s">
        <v>135</v>
      </c>
      <c r="N85" s="7" t="s">
        <v>43</v>
      </c>
      <c r="O85" s="7" t="str">
        <f t="shared" si="4"/>
        <v>34–45</v>
      </c>
      <c r="P85" s="7" t="str">
        <f t="shared" si="5"/>
        <v>&gt;0.25</v>
      </c>
      <c r="Q85" s="7" t="str">
        <f t="shared" si="6"/>
        <v>Apr</v>
      </c>
      <c r="R85" s="7" t="str">
        <f t="shared" si="7"/>
        <v>2023</v>
      </c>
    </row>
    <row r="86" spans="1:18" x14ac:dyDescent="0.3">
      <c r="A86" s="7" t="s">
        <v>422</v>
      </c>
      <c r="B86" s="7" t="s">
        <v>269</v>
      </c>
      <c r="C86" s="7" t="s">
        <v>340</v>
      </c>
      <c r="D86" s="8" t="s">
        <v>423</v>
      </c>
      <c r="E86" s="7" t="s">
        <v>424</v>
      </c>
      <c r="F86" s="7" t="s">
        <v>425</v>
      </c>
      <c r="G86" s="7">
        <v>4</v>
      </c>
      <c r="H86" s="7" t="b">
        <v>1</v>
      </c>
      <c r="I86" s="7" t="s">
        <v>35</v>
      </c>
      <c r="J86" s="7">
        <v>0.23</v>
      </c>
      <c r="K86" s="7" t="s">
        <v>27</v>
      </c>
      <c r="L86" s="7">
        <v>36</v>
      </c>
      <c r="M86" s="7" t="s">
        <v>273</v>
      </c>
      <c r="N86" s="7" t="s">
        <v>274</v>
      </c>
      <c r="O86" s="7" t="str">
        <f t="shared" si="4"/>
        <v>34–45</v>
      </c>
      <c r="P86" s="7" t="str">
        <f t="shared" si="5"/>
        <v>&gt;0.25</v>
      </c>
      <c r="Q86" s="7" t="str">
        <f t="shared" si="6"/>
        <v>Apr</v>
      </c>
      <c r="R86" s="7" t="str">
        <f t="shared" si="7"/>
        <v>2023</v>
      </c>
    </row>
    <row r="87" spans="1:18" x14ac:dyDescent="0.3">
      <c r="A87" s="7" t="s">
        <v>426</v>
      </c>
      <c r="B87" s="7" t="s">
        <v>878</v>
      </c>
      <c r="C87" s="7" t="s">
        <v>284</v>
      </c>
      <c r="D87" s="8" t="s">
        <v>423</v>
      </c>
      <c r="E87" s="7" t="s">
        <v>427</v>
      </c>
      <c r="F87" s="7" t="s">
        <v>879</v>
      </c>
      <c r="G87" s="7">
        <v>5</v>
      </c>
      <c r="H87" s="7" t="b">
        <v>1</v>
      </c>
      <c r="I87" s="7" t="s">
        <v>19</v>
      </c>
      <c r="J87" s="7">
        <v>0.85</v>
      </c>
      <c r="K87" s="7" t="s">
        <v>27</v>
      </c>
      <c r="L87" s="7">
        <v>34</v>
      </c>
      <c r="M87" s="7" t="s">
        <v>28</v>
      </c>
      <c r="N87" s="7" t="s">
        <v>281</v>
      </c>
      <c r="O87" s="7" t="str">
        <f t="shared" si="4"/>
        <v>34–45</v>
      </c>
      <c r="P87" s="7" t="str">
        <f t="shared" si="5"/>
        <v>0.75&gt;1</v>
      </c>
      <c r="Q87" s="7" t="str">
        <f t="shared" si="6"/>
        <v>Apr</v>
      </c>
      <c r="R87" s="7" t="str">
        <f t="shared" si="7"/>
        <v>2023</v>
      </c>
    </row>
    <row r="88" spans="1:18" x14ac:dyDescent="0.3">
      <c r="A88" s="7" t="s">
        <v>428</v>
      </c>
      <c r="B88" s="7" t="s">
        <v>362</v>
      </c>
      <c r="C88" s="7" t="s">
        <v>295</v>
      </c>
      <c r="D88" s="8" t="s">
        <v>429</v>
      </c>
      <c r="E88" s="7" t="s">
        <v>430</v>
      </c>
      <c r="F88" s="7" t="s">
        <v>431</v>
      </c>
      <c r="G88" s="7">
        <v>4</v>
      </c>
      <c r="H88" s="7" t="b">
        <v>0</v>
      </c>
      <c r="I88" s="7" t="s">
        <v>35</v>
      </c>
      <c r="J88" s="7">
        <v>0.11</v>
      </c>
      <c r="K88" s="7" t="s">
        <v>20</v>
      </c>
      <c r="L88" s="7">
        <v>24</v>
      </c>
      <c r="M88" s="7" t="s">
        <v>366</v>
      </c>
      <c r="N88" s="7" t="s">
        <v>367</v>
      </c>
      <c r="O88" s="7" t="str">
        <f t="shared" si="4"/>
        <v>17–25</v>
      </c>
      <c r="P88" s="7" t="str">
        <f t="shared" si="5"/>
        <v>&gt;0.25</v>
      </c>
      <c r="Q88" s="7" t="str">
        <f t="shared" si="6"/>
        <v>Apr</v>
      </c>
      <c r="R88" s="7" t="str">
        <f t="shared" si="7"/>
        <v>2023</v>
      </c>
    </row>
    <row r="89" spans="1:18" x14ac:dyDescent="0.3">
      <c r="A89" s="7" t="s">
        <v>432</v>
      </c>
      <c r="B89" s="7" t="s">
        <v>358</v>
      </c>
      <c r="C89" s="7" t="s">
        <v>324</v>
      </c>
      <c r="D89" s="8" t="s">
        <v>433</v>
      </c>
      <c r="E89" s="7" t="s">
        <v>209</v>
      </c>
      <c r="F89" s="7" t="s">
        <v>434</v>
      </c>
      <c r="G89" s="7">
        <v>1</v>
      </c>
      <c r="H89" s="7" t="b">
        <v>1</v>
      </c>
      <c r="I89" s="7" t="s">
        <v>26</v>
      </c>
      <c r="J89" s="7">
        <v>-0.93</v>
      </c>
      <c r="K89" s="7" t="s">
        <v>27</v>
      </c>
      <c r="L89" s="7">
        <v>39</v>
      </c>
      <c r="M89" s="7" t="s">
        <v>181</v>
      </c>
      <c r="N89" s="7" t="s">
        <v>360</v>
      </c>
      <c r="O89" s="7" t="str">
        <f t="shared" si="4"/>
        <v>34–45</v>
      </c>
      <c r="P89" s="7" t="str">
        <f t="shared" si="5"/>
        <v>&gt;0.25</v>
      </c>
      <c r="Q89" s="7" t="str">
        <f t="shared" si="6"/>
        <v>Apr</v>
      </c>
      <c r="R89" s="7" t="str">
        <f t="shared" si="7"/>
        <v>2023</v>
      </c>
    </row>
    <row r="90" spans="1:18" x14ac:dyDescent="0.3">
      <c r="A90" s="7" t="s">
        <v>435</v>
      </c>
      <c r="B90" s="7" t="s">
        <v>347</v>
      </c>
      <c r="C90" s="7" t="s">
        <v>318</v>
      </c>
      <c r="D90" s="8" t="s">
        <v>433</v>
      </c>
      <c r="E90" s="7" t="s">
        <v>436</v>
      </c>
      <c r="F90" s="7" t="s">
        <v>437</v>
      </c>
      <c r="G90" s="7">
        <v>3</v>
      </c>
      <c r="H90" s="7" t="b">
        <v>0</v>
      </c>
      <c r="I90" s="7" t="s">
        <v>35</v>
      </c>
      <c r="J90" s="7">
        <v>-0.02</v>
      </c>
      <c r="K90" s="7" t="s">
        <v>848</v>
      </c>
      <c r="L90" s="7">
        <v>33</v>
      </c>
      <c r="M90" s="7" t="s">
        <v>848</v>
      </c>
      <c r="N90" s="7" t="s">
        <v>848</v>
      </c>
      <c r="O90" s="7" t="str">
        <f t="shared" si="4"/>
        <v>26–33</v>
      </c>
      <c r="P90" s="7" t="str">
        <f t="shared" si="5"/>
        <v>&gt;0.25</v>
      </c>
      <c r="Q90" s="7" t="str">
        <f t="shared" si="6"/>
        <v>Apr</v>
      </c>
      <c r="R90" s="7" t="str">
        <f t="shared" si="7"/>
        <v>2023</v>
      </c>
    </row>
    <row r="91" spans="1:18" x14ac:dyDescent="0.3">
      <c r="A91" s="7" t="s">
        <v>438</v>
      </c>
      <c r="B91" s="7" t="s">
        <v>288</v>
      </c>
      <c r="C91" s="7" t="s">
        <v>264</v>
      </c>
      <c r="D91" s="8" t="s">
        <v>439</v>
      </c>
      <c r="E91" s="7" t="s">
        <v>440</v>
      </c>
      <c r="F91" s="7" t="s">
        <v>441</v>
      </c>
      <c r="G91" s="7">
        <v>5</v>
      </c>
      <c r="H91" s="7" t="b">
        <v>1</v>
      </c>
      <c r="I91" s="7" t="s">
        <v>19</v>
      </c>
      <c r="J91" s="7">
        <v>0.97</v>
      </c>
      <c r="K91" s="7" t="s">
        <v>848</v>
      </c>
      <c r="L91" s="7">
        <v>22</v>
      </c>
      <c r="M91" s="7" t="s">
        <v>164</v>
      </c>
      <c r="N91" s="7" t="s">
        <v>293</v>
      </c>
      <c r="O91" s="7" t="str">
        <f t="shared" si="4"/>
        <v>17–25</v>
      </c>
      <c r="P91" s="7" t="str">
        <f t="shared" si="5"/>
        <v>0.75&gt;1</v>
      </c>
      <c r="Q91" s="7" t="str">
        <f t="shared" si="6"/>
        <v>Apr</v>
      </c>
      <c r="R91" s="7" t="str">
        <f t="shared" si="7"/>
        <v>2023</v>
      </c>
    </row>
    <row r="92" spans="1:18" x14ac:dyDescent="0.3">
      <c r="A92" s="7" t="s">
        <v>442</v>
      </c>
      <c r="B92" s="7" t="s">
        <v>317</v>
      </c>
      <c r="C92" s="7" t="s">
        <v>295</v>
      </c>
      <c r="D92" s="8" t="s">
        <v>443</v>
      </c>
      <c r="E92" s="7" t="s">
        <v>444</v>
      </c>
      <c r="F92" s="7" t="s">
        <v>445</v>
      </c>
      <c r="G92" s="7">
        <v>4</v>
      </c>
      <c r="H92" s="7" t="b">
        <v>1</v>
      </c>
      <c r="I92" s="7" t="s">
        <v>19</v>
      </c>
      <c r="J92" s="7">
        <v>0.75</v>
      </c>
      <c r="K92" s="7" t="s">
        <v>848</v>
      </c>
      <c r="L92" s="7">
        <v>33</v>
      </c>
      <c r="M92" s="7" t="s">
        <v>848</v>
      </c>
      <c r="N92" s="7" t="s">
        <v>848</v>
      </c>
      <c r="O92" s="7" t="str">
        <f t="shared" si="4"/>
        <v>26–33</v>
      </c>
      <c r="P92" s="7" t="str">
        <f t="shared" si="5"/>
        <v>0.75&gt;1</v>
      </c>
      <c r="Q92" s="7" t="str">
        <f t="shared" si="6"/>
        <v>Apr</v>
      </c>
      <c r="R92" s="7" t="str">
        <f t="shared" si="7"/>
        <v>2023</v>
      </c>
    </row>
    <row r="93" spans="1:18" x14ac:dyDescent="0.3">
      <c r="A93" s="7" t="s">
        <v>446</v>
      </c>
      <c r="B93" s="7" t="s">
        <v>283</v>
      </c>
      <c r="C93" s="7" t="s">
        <v>318</v>
      </c>
      <c r="D93" s="8" t="s">
        <v>443</v>
      </c>
      <c r="E93" s="7" t="s">
        <v>447</v>
      </c>
      <c r="F93" s="7" t="s">
        <v>448</v>
      </c>
      <c r="G93" s="7">
        <v>4</v>
      </c>
      <c r="H93" s="7" t="b">
        <v>1</v>
      </c>
      <c r="I93" s="7" t="s">
        <v>19</v>
      </c>
      <c r="J93" s="7">
        <v>0.68</v>
      </c>
      <c r="K93" s="7" t="s">
        <v>848</v>
      </c>
      <c r="L93" s="7">
        <v>33</v>
      </c>
      <c r="M93" s="7" t="s">
        <v>848</v>
      </c>
      <c r="N93" s="7" t="s">
        <v>848</v>
      </c>
      <c r="O93" s="7" t="str">
        <f t="shared" si="4"/>
        <v>26–33</v>
      </c>
      <c r="P93" s="7" t="str">
        <f t="shared" si="5"/>
        <v>0.5&gt;0.75</v>
      </c>
      <c r="Q93" s="7" t="str">
        <f t="shared" si="6"/>
        <v>Apr</v>
      </c>
      <c r="R93" s="7" t="str">
        <f t="shared" si="7"/>
        <v>2023</v>
      </c>
    </row>
    <row r="94" spans="1:18" x14ac:dyDescent="0.3">
      <c r="A94" s="7" t="s">
        <v>449</v>
      </c>
      <c r="B94" s="7" t="s">
        <v>384</v>
      </c>
      <c r="C94" s="7" t="s">
        <v>324</v>
      </c>
      <c r="D94" s="8" t="s">
        <v>137</v>
      </c>
      <c r="E94" s="7" t="s">
        <v>450</v>
      </c>
      <c r="F94" s="7" t="s">
        <v>451</v>
      </c>
      <c r="G94" s="7">
        <v>1</v>
      </c>
      <c r="H94" s="7" t="b">
        <v>0</v>
      </c>
      <c r="I94" s="7" t="s">
        <v>26</v>
      </c>
      <c r="J94" s="7">
        <v>-0.83</v>
      </c>
      <c r="K94" s="7" t="s">
        <v>27</v>
      </c>
      <c r="L94" s="7">
        <v>38</v>
      </c>
      <c r="M94" s="7" t="s">
        <v>388</v>
      </c>
      <c r="N94" s="7" t="s">
        <v>389</v>
      </c>
      <c r="O94" s="7" t="str">
        <f t="shared" si="4"/>
        <v>34–45</v>
      </c>
      <c r="P94" s="7" t="str">
        <f t="shared" si="5"/>
        <v>&gt;0.25</v>
      </c>
      <c r="Q94" s="7" t="str">
        <f t="shared" si="6"/>
        <v>Apr</v>
      </c>
      <c r="R94" s="7" t="str">
        <f t="shared" si="7"/>
        <v>2023</v>
      </c>
    </row>
    <row r="95" spans="1:18" x14ac:dyDescent="0.3">
      <c r="A95" s="7" t="s">
        <v>452</v>
      </c>
      <c r="B95" s="7" t="s">
        <v>305</v>
      </c>
      <c r="C95" s="7" t="s">
        <v>340</v>
      </c>
      <c r="D95" s="8" t="s">
        <v>137</v>
      </c>
      <c r="E95" s="7" t="s">
        <v>453</v>
      </c>
      <c r="F95" s="7" t="s">
        <v>454</v>
      </c>
      <c r="G95" s="7">
        <v>4</v>
      </c>
      <c r="H95" s="7" t="b">
        <v>1</v>
      </c>
      <c r="I95" s="7" t="s">
        <v>19</v>
      </c>
      <c r="J95" s="7">
        <v>0.71</v>
      </c>
      <c r="K95" s="7" t="s">
        <v>20</v>
      </c>
      <c r="L95" s="7">
        <v>28</v>
      </c>
      <c r="M95" s="7" t="s">
        <v>126</v>
      </c>
      <c r="N95" s="7" t="s">
        <v>309</v>
      </c>
      <c r="O95" s="7" t="str">
        <f t="shared" si="4"/>
        <v>26–33</v>
      </c>
      <c r="P95" s="7" t="str">
        <f t="shared" si="5"/>
        <v>0.5&gt;0.75</v>
      </c>
      <c r="Q95" s="7" t="str">
        <f t="shared" si="6"/>
        <v>Apr</v>
      </c>
      <c r="R95" s="7" t="str">
        <f t="shared" si="7"/>
        <v>2023</v>
      </c>
    </row>
    <row r="96" spans="1:18" x14ac:dyDescent="0.3">
      <c r="A96" s="7" t="s">
        <v>455</v>
      </c>
      <c r="B96" s="7" t="s">
        <v>339</v>
      </c>
      <c r="C96" s="7" t="s">
        <v>318</v>
      </c>
      <c r="D96" s="8" t="s">
        <v>456</v>
      </c>
      <c r="E96" s="7" t="s">
        <v>838</v>
      </c>
      <c r="F96" s="7" t="s">
        <v>457</v>
      </c>
      <c r="G96" s="7">
        <v>3</v>
      </c>
      <c r="H96" s="7" t="b">
        <v>0</v>
      </c>
      <c r="I96" s="7" t="s">
        <v>35</v>
      </c>
      <c r="J96" s="7">
        <v>0.34</v>
      </c>
      <c r="K96" s="7" t="s">
        <v>848</v>
      </c>
      <c r="L96" s="7">
        <v>33</v>
      </c>
      <c r="M96" s="7" t="s">
        <v>848</v>
      </c>
      <c r="N96" s="7" t="s">
        <v>848</v>
      </c>
      <c r="O96" s="7" t="str">
        <f t="shared" si="4"/>
        <v>26–33</v>
      </c>
      <c r="P96" s="7" t="str">
        <f t="shared" si="5"/>
        <v>0.25&gt;0.5</v>
      </c>
      <c r="Q96" s="7" t="str">
        <f t="shared" si="6"/>
        <v>Apr</v>
      </c>
      <c r="R96" s="7" t="str">
        <f t="shared" si="7"/>
        <v>2023</v>
      </c>
    </row>
    <row r="97" spans="1:18" x14ac:dyDescent="0.3">
      <c r="A97" s="7" t="s">
        <v>458</v>
      </c>
      <c r="B97" s="7" t="s">
        <v>323</v>
      </c>
      <c r="C97" s="7" t="s">
        <v>340</v>
      </c>
      <c r="D97" s="8" t="s">
        <v>456</v>
      </c>
      <c r="E97" s="7" t="s">
        <v>179</v>
      </c>
      <c r="F97" s="7" t="s">
        <v>459</v>
      </c>
      <c r="G97" s="7">
        <v>5</v>
      </c>
      <c r="H97" s="7" t="b">
        <v>1</v>
      </c>
      <c r="I97" s="7" t="s">
        <v>19</v>
      </c>
      <c r="J97" s="7">
        <v>0.96</v>
      </c>
      <c r="K97" s="7" t="s">
        <v>20</v>
      </c>
      <c r="L97" s="7">
        <v>23</v>
      </c>
      <c r="M97" s="7" t="s">
        <v>327</v>
      </c>
      <c r="N97" s="7" t="s">
        <v>328</v>
      </c>
      <c r="O97" s="7" t="str">
        <f t="shared" si="4"/>
        <v>17–25</v>
      </c>
      <c r="P97" s="7" t="str">
        <f t="shared" si="5"/>
        <v>0.75&gt;1</v>
      </c>
      <c r="Q97" s="7" t="str">
        <f t="shared" si="6"/>
        <v>Apr</v>
      </c>
      <c r="R97" s="7" t="str">
        <f t="shared" si="7"/>
        <v>2023</v>
      </c>
    </row>
    <row r="98" spans="1:18" x14ac:dyDescent="0.3">
      <c r="A98" s="7" t="s">
        <v>460</v>
      </c>
      <c r="B98" s="7" t="s">
        <v>378</v>
      </c>
      <c r="C98" s="7" t="s">
        <v>270</v>
      </c>
      <c r="D98" s="8" t="s">
        <v>461</v>
      </c>
      <c r="E98" s="7" t="s">
        <v>462</v>
      </c>
      <c r="F98" s="7" t="s">
        <v>463</v>
      </c>
      <c r="G98" s="7">
        <v>2</v>
      </c>
      <c r="H98" s="7" t="b">
        <v>0</v>
      </c>
      <c r="I98" s="7" t="s">
        <v>26</v>
      </c>
      <c r="J98" s="7">
        <v>-0.79</v>
      </c>
      <c r="K98" s="7" t="s">
        <v>20</v>
      </c>
      <c r="L98" s="7">
        <v>44</v>
      </c>
      <c r="M98" s="7" t="s">
        <v>382</v>
      </c>
      <c r="N98" s="7" t="s">
        <v>299</v>
      </c>
      <c r="O98" s="7" t="str">
        <f t="shared" si="4"/>
        <v>34–45</v>
      </c>
      <c r="P98" s="7" t="str">
        <f t="shared" si="5"/>
        <v>&gt;0.25</v>
      </c>
      <c r="Q98" s="7" t="str">
        <f t="shared" si="6"/>
        <v>Apr</v>
      </c>
      <c r="R98" s="7" t="str">
        <f t="shared" si="7"/>
        <v>2023</v>
      </c>
    </row>
    <row r="99" spans="1:18" x14ac:dyDescent="0.3">
      <c r="A99" s="7" t="s">
        <v>464</v>
      </c>
      <c r="B99" s="7" t="s">
        <v>269</v>
      </c>
      <c r="C99" s="7" t="s">
        <v>289</v>
      </c>
      <c r="D99" s="8" t="s">
        <v>461</v>
      </c>
      <c r="E99" s="7" t="s">
        <v>465</v>
      </c>
      <c r="F99" s="7" t="s">
        <v>466</v>
      </c>
      <c r="G99" s="7">
        <v>4</v>
      </c>
      <c r="H99" s="7" t="b">
        <v>1</v>
      </c>
      <c r="I99" s="7" t="s">
        <v>19</v>
      </c>
      <c r="J99" s="7">
        <v>0.81</v>
      </c>
      <c r="K99" s="7" t="s">
        <v>27</v>
      </c>
      <c r="L99" s="7">
        <v>36</v>
      </c>
      <c r="M99" s="7" t="s">
        <v>273</v>
      </c>
      <c r="N99" s="7" t="s">
        <v>274</v>
      </c>
      <c r="O99" s="7" t="str">
        <f t="shared" si="4"/>
        <v>34–45</v>
      </c>
      <c r="P99" s="7" t="str">
        <f t="shared" si="5"/>
        <v>0.75&gt;1</v>
      </c>
      <c r="Q99" s="7" t="str">
        <f t="shared" si="6"/>
        <v>Apr</v>
      </c>
      <c r="R99" s="7" t="str">
        <f t="shared" si="7"/>
        <v>2023</v>
      </c>
    </row>
    <row r="100" spans="1:18" x14ac:dyDescent="0.3">
      <c r="A100" s="7" t="s">
        <v>467</v>
      </c>
      <c r="B100" s="7" t="s">
        <v>305</v>
      </c>
      <c r="C100" s="7" t="s">
        <v>276</v>
      </c>
      <c r="D100" s="8" t="s">
        <v>173</v>
      </c>
      <c r="E100" s="7" t="s">
        <v>424</v>
      </c>
      <c r="F100" s="7" t="s">
        <v>468</v>
      </c>
      <c r="G100" s="7">
        <v>4</v>
      </c>
      <c r="H100" s="7" t="b">
        <v>1</v>
      </c>
      <c r="I100" s="7" t="s">
        <v>19</v>
      </c>
      <c r="J100" s="7">
        <v>0.7</v>
      </c>
      <c r="K100" s="7" t="s">
        <v>20</v>
      </c>
      <c r="L100" s="7">
        <v>28</v>
      </c>
      <c r="M100" s="7" t="s">
        <v>126</v>
      </c>
      <c r="N100" s="7" t="s">
        <v>309</v>
      </c>
      <c r="O100" s="7" t="str">
        <f t="shared" si="4"/>
        <v>26–33</v>
      </c>
      <c r="P100" s="7" t="str">
        <f t="shared" si="5"/>
        <v>0.5&gt;0.75</v>
      </c>
      <c r="Q100" s="7" t="str">
        <f t="shared" si="6"/>
        <v>Apr</v>
      </c>
      <c r="R100" s="7" t="str">
        <f t="shared" si="7"/>
        <v>2023</v>
      </c>
    </row>
    <row r="101" spans="1:18" x14ac:dyDescent="0.3">
      <c r="A101" s="7" t="s">
        <v>469</v>
      </c>
      <c r="B101" s="7" t="s">
        <v>311</v>
      </c>
      <c r="C101" s="7" t="s">
        <v>318</v>
      </c>
      <c r="D101" s="8" t="s">
        <v>173</v>
      </c>
      <c r="E101" s="7" t="s">
        <v>470</v>
      </c>
      <c r="F101" s="7" t="s">
        <v>471</v>
      </c>
      <c r="G101" s="7">
        <v>2</v>
      </c>
      <c r="H101" s="7" t="b">
        <v>0</v>
      </c>
      <c r="I101" s="7" t="s">
        <v>26</v>
      </c>
      <c r="J101" s="7">
        <v>-0.62</v>
      </c>
      <c r="K101" s="7" t="s">
        <v>848</v>
      </c>
      <c r="L101" s="7">
        <v>47</v>
      </c>
      <c r="M101" s="7" t="s">
        <v>314</v>
      </c>
      <c r="N101" s="7" t="s">
        <v>315</v>
      </c>
      <c r="O101" s="7" t="str">
        <f t="shared" si="4"/>
        <v>46–55</v>
      </c>
      <c r="P101" s="7" t="str">
        <f t="shared" si="5"/>
        <v>&gt;0.25</v>
      </c>
      <c r="Q101" s="7" t="str">
        <f t="shared" si="6"/>
        <v>Apr</v>
      </c>
      <c r="R101" s="7" t="str">
        <f t="shared" si="7"/>
        <v>2023</v>
      </c>
    </row>
    <row r="102" spans="1:18" x14ac:dyDescent="0.3">
      <c r="A102" s="7" t="s">
        <v>472</v>
      </c>
      <c r="B102" s="7" t="s">
        <v>878</v>
      </c>
      <c r="C102" s="7" t="s">
        <v>340</v>
      </c>
      <c r="D102" s="8" t="s">
        <v>473</v>
      </c>
      <c r="E102" s="7" t="s">
        <v>133</v>
      </c>
      <c r="F102" s="7" t="s">
        <v>474</v>
      </c>
      <c r="G102" s="7">
        <v>5</v>
      </c>
      <c r="H102" s="7" t="b">
        <v>1</v>
      </c>
      <c r="I102" s="7" t="s">
        <v>19</v>
      </c>
      <c r="J102" s="7">
        <v>0.9</v>
      </c>
      <c r="K102" s="7" t="s">
        <v>27</v>
      </c>
      <c r="L102" s="7">
        <v>34</v>
      </c>
      <c r="M102" s="7" t="s">
        <v>28</v>
      </c>
      <c r="N102" s="7" t="s">
        <v>281</v>
      </c>
      <c r="O102" s="7" t="str">
        <f t="shared" si="4"/>
        <v>34–45</v>
      </c>
      <c r="P102" s="7" t="str">
        <f t="shared" si="5"/>
        <v>0.75&gt;1</v>
      </c>
      <c r="Q102" s="7" t="str">
        <f t="shared" si="6"/>
        <v>Apr</v>
      </c>
      <c r="R102" s="7" t="str">
        <f t="shared" si="7"/>
        <v>2023</v>
      </c>
    </row>
    <row r="103" spans="1:18" x14ac:dyDescent="0.3">
      <c r="A103" s="7" t="s">
        <v>475</v>
      </c>
      <c r="B103" s="7" t="s">
        <v>362</v>
      </c>
      <c r="C103" s="7" t="s">
        <v>324</v>
      </c>
      <c r="D103" s="8" t="s">
        <v>473</v>
      </c>
      <c r="E103" s="7" t="s">
        <v>476</v>
      </c>
      <c r="F103" s="7" t="s">
        <v>477</v>
      </c>
      <c r="G103" s="7">
        <v>4</v>
      </c>
      <c r="H103" s="7" t="b">
        <v>1</v>
      </c>
      <c r="I103" s="7" t="s">
        <v>19</v>
      </c>
      <c r="J103" s="7">
        <v>0.76</v>
      </c>
      <c r="K103" s="7" t="s">
        <v>20</v>
      </c>
      <c r="L103" s="7">
        <v>24</v>
      </c>
      <c r="M103" s="7" t="s">
        <v>366</v>
      </c>
      <c r="N103" s="7" t="s">
        <v>367</v>
      </c>
      <c r="O103" s="7" t="str">
        <f t="shared" si="4"/>
        <v>17–25</v>
      </c>
      <c r="P103" s="7" t="str">
        <f t="shared" si="5"/>
        <v>0.75&gt;1</v>
      </c>
      <c r="Q103" s="7" t="str">
        <f t="shared" si="6"/>
        <v>Apr</v>
      </c>
      <c r="R103" s="7" t="str">
        <f t="shared" si="7"/>
        <v>2023</v>
      </c>
    </row>
    <row r="104" spans="1:18" x14ac:dyDescent="0.3">
      <c r="A104" s="7" t="s">
        <v>478</v>
      </c>
      <c r="B104" s="7" t="s">
        <v>880</v>
      </c>
      <c r="C104" s="7" t="s">
        <v>480</v>
      </c>
      <c r="D104" s="8" t="s">
        <v>405</v>
      </c>
      <c r="E104" s="7" t="s">
        <v>465</v>
      </c>
      <c r="F104" s="7" t="s">
        <v>481</v>
      </c>
      <c r="G104" s="7">
        <v>4</v>
      </c>
      <c r="H104" s="7" t="b">
        <v>1</v>
      </c>
      <c r="I104" s="7" t="s">
        <v>19</v>
      </c>
      <c r="J104" s="7">
        <v>0.63</v>
      </c>
      <c r="K104" s="7" t="s">
        <v>20</v>
      </c>
      <c r="L104" s="7">
        <v>41</v>
      </c>
      <c r="M104" s="7" t="s">
        <v>280</v>
      </c>
      <c r="N104" s="7" t="s">
        <v>281</v>
      </c>
      <c r="O104" s="7" t="str">
        <f t="shared" si="4"/>
        <v>34–45</v>
      </c>
      <c r="P104" s="7" t="str">
        <f t="shared" si="5"/>
        <v>0.5&gt;0.75</v>
      </c>
      <c r="Q104" s="7" t="str">
        <f t="shared" si="6"/>
        <v>Apr</v>
      </c>
      <c r="R104" s="7" t="str">
        <f t="shared" si="7"/>
        <v>2023</v>
      </c>
    </row>
    <row r="105" spans="1:18" x14ac:dyDescent="0.3">
      <c r="A105" s="7" t="s">
        <v>482</v>
      </c>
      <c r="B105" s="7" t="s">
        <v>881</v>
      </c>
      <c r="C105" s="7" t="s">
        <v>484</v>
      </c>
      <c r="D105" s="8" t="s">
        <v>412</v>
      </c>
      <c r="E105" s="7" t="s">
        <v>485</v>
      </c>
      <c r="F105" s="7" t="s">
        <v>882</v>
      </c>
      <c r="G105" s="7">
        <v>2</v>
      </c>
      <c r="H105" s="7" t="b">
        <v>1</v>
      </c>
      <c r="I105" s="7" t="s">
        <v>26</v>
      </c>
      <c r="J105" s="7">
        <v>-0.52</v>
      </c>
      <c r="K105" s="7" t="s">
        <v>27</v>
      </c>
      <c r="L105" s="7">
        <v>38</v>
      </c>
      <c r="M105" s="7" t="s">
        <v>135</v>
      </c>
      <c r="N105" s="7" t="s">
        <v>43</v>
      </c>
      <c r="O105" s="7" t="str">
        <f t="shared" si="4"/>
        <v>34–45</v>
      </c>
      <c r="P105" s="7" t="str">
        <f t="shared" si="5"/>
        <v>&gt;0.25</v>
      </c>
      <c r="Q105" s="7" t="str">
        <f t="shared" si="6"/>
        <v>Apr</v>
      </c>
      <c r="R105" s="7" t="str">
        <f t="shared" si="7"/>
        <v>2023</v>
      </c>
    </row>
    <row r="106" spans="1:18" x14ac:dyDescent="0.3">
      <c r="A106" s="7" t="s">
        <v>486</v>
      </c>
      <c r="B106" s="7" t="s">
        <v>883</v>
      </c>
      <c r="C106" s="7" t="s">
        <v>488</v>
      </c>
      <c r="D106" s="8" t="s">
        <v>412</v>
      </c>
      <c r="E106" s="7" t="s">
        <v>489</v>
      </c>
      <c r="F106" s="7" t="s">
        <v>490</v>
      </c>
      <c r="G106" s="7">
        <v>3</v>
      </c>
      <c r="H106" s="7" t="b">
        <v>0</v>
      </c>
      <c r="I106" s="7" t="s">
        <v>35</v>
      </c>
      <c r="J106" s="7">
        <v>0.04</v>
      </c>
      <c r="K106" s="7" t="s">
        <v>848</v>
      </c>
      <c r="L106" s="7">
        <v>48</v>
      </c>
      <c r="M106" s="7" t="s">
        <v>28</v>
      </c>
      <c r="N106" s="7" t="s">
        <v>281</v>
      </c>
      <c r="O106" s="7" t="str">
        <f t="shared" si="4"/>
        <v>46–55</v>
      </c>
      <c r="P106" s="7" t="str">
        <f t="shared" si="5"/>
        <v>&gt;0.25</v>
      </c>
      <c r="Q106" s="7" t="str">
        <f t="shared" si="6"/>
        <v>Apr</v>
      </c>
      <c r="R106" s="7" t="str">
        <f t="shared" si="7"/>
        <v>2023</v>
      </c>
    </row>
    <row r="107" spans="1:18" x14ac:dyDescent="0.3">
      <c r="A107" s="7" t="s">
        <v>491</v>
      </c>
      <c r="B107" s="7" t="s">
        <v>492</v>
      </c>
      <c r="C107" s="7" t="s">
        <v>493</v>
      </c>
      <c r="D107" s="8" t="s">
        <v>417</v>
      </c>
      <c r="E107" s="7" t="s">
        <v>494</v>
      </c>
      <c r="F107" s="7" t="s">
        <v>495</v>
      </c>
      <c r="G107" s="7">
        <v>5</v>
      </c>
      <c r="H107" s="7" t="b">
        <v>1</v>
      </c>
      <c r="I107" s="7" t="s">
        <v>19</v>
      </c>
      <c r="J107" s="7">
        <v>0.91</v>
      </c>
      <c r="K107" s="7" t="s">
        <v>20</v>
      </c>
      <c r="L107" s="7">
        <v>33</v>
      </c>
      <c r="M107" s="7" t="s">
        <v>36</v>
      </c>
      <c r="N107" s="7" t="s">
        <v>309</v>
      </c>
      <c r="O107" s="7" t="str">
        <f t="shared" si="4"/>
        <v>26–33</v>
      </c>
      <c r="P107" s="7" t="str">
        <f t="shared" si="5"/>
        <v>0.75&gt;1</v>
      </c>
      <c r="Q107" s="7" t="str">
        <f t="shared" si="6"/>
        <v>Apr</v>
      </c>
      <c r="R107" s="7" t="str">
        <f t="shared" si="7"/>
        <v>2023</v>
      </c>
    </row>
    <row r="108" spans="1:18" x14ac:dyDescent="0.3">
      <c r="A108" s="7" t="s">
        <v>496</v>
      </c>
      <c r="B108" s="7" t="s">
        <v>497</v>
      </c>
      <c r="C108" s="7" t="s">
        <v>498</v>
      </c>
      <c r="D108" s="8" t="s">
        <v>417</v>
      </c>
      <c r="E108" s="7" t="s">
        <v>499</v>
      </c>
      <c r="F108" s="7" t="s">
        <v>500</v>
      </c>
      <c r="G108" s="7">
        <v>3</v>
      </c>
      <c r="H108" s="7" t="b">
        <v>0</v>
      </c>
      <c r="I108" s="7" t="s">
        <v>35</v>
      </c>
      <c r="J108" s="7">
        <v>0.1</v>
      </c>
      <c r="K108" s="7" t="s">
        <v>27</v>
      </c>
      <c r="L108" s="7">
        <v>33</v>
      </c>
      <c r="M108" s="7" t="s">
        <v>848</v>
      </c>
      <c r="N108" s="7" t="s">
        <v>848</v>
      </c>
      <c r="O108" s="7" t="str">
        <f t="shared" si="4"/>
        <v>26–33</v>
      </c>
      <c r="P108" s="7" t="str">
        <f t="shared" si="5"/>
        <v>&gt;0.25</v>
      </c>
      <c r="Q108" s="7" t="str">
        <f t="shared" si="6"/>
        <v>Apr</v>
      </c>
      <c r="R108" s="7" t="str">
        <f t="shared" si="7"/>
        <v>2023</v>
      </c>
    </row>
    <row r="109" spans="1:18" x14ac:dyDescent="0.3">
      <c r="A109" s="7" t="s">
        <v>501</v>
      </c>
      <c r="B109" s="7" t="s">
        <v>502</v>
      </c>
      <c r="C109" s="7" t="s">
        <v>480</v>
      </c>
      <c r="D109" s="8" t="s">
        <v>423</v>
      </c>
      <c r="E109" s="7" t="s">
        <v>503</v>
      </c>
      <c r="F109" s="7" t="s">
        <v>504</v>
      </c>
      <c r="G109" s="7">
        <v>1</v>
      </c>
      <c r="H109" s="7" t="b">
        <v>1</v>
      </c>
      <c r="I109" s="7" t="s">
        <v>26</v>
      </c>
      <c r="J109" s="7">
        <v>-0.97</v>
      </c>
      <c r="K109" s="7" t="s">
        <v>20</v>
      </c>
      <c r="L109" s="7">
        <v>55</v>
      </c>
      <c r="M109" s="7" t="s">
        <v>75</v>
      </c>
      <c r="N109" s="7" t="s">
        <v>274</v>
      </c>
      <c r="O109" s="7" t="str">
        <f t="shared" si="4"/>
        <v>46–55</v>
      </c>
      <c r="P109" s="7" t="str">
        <f t="shared" si="5"/>
        <v>&gt;0.25</v>
      </c>
      <c r="Q109" s="7" t="str">
        <f t="shared" si="6"/>
        <v>Apr</v>
      </c>
      <c r="R109" s="7" t="str">
        <f t="shared" si="7"/>
        <v>2023</v>
      </c>
    </row>
    <row r="110" spans="1:18" x14ac:dyDescent="0.3">
      <c r="A110" s="7" t="s">
        <v>505</v>
      </c>
      <c r="B110" s="7" t="s">
        <v>884</v>
      </c>
      <c r="C110" s="7" t="s">
        <v>507</v>
      </c>
      <c r="D110" s="8" t="s">
        <v>423</v>
      </c>
      <c r="E110" s="7" t="s">
        <v>872</v>
      </c>
      <c r="F110" s="7" t="s">
        <v>508</v>
      </c>
      <c r="G110" s="7">
        <v>3</v>
      </c>
      <c r="H110" s="7" t="b">
        <v>0</v>
      </c>
      <c r="I110" s="7" t="s">
        <v>35</v>
      </c>
      <c r="J110" s="7">
        <v>7.0000000000000007E-2</v>
      </c>
      <c r="K110" s="7" t="s">
        <v>848</v>
      </c>
      <c r="L110" s="7">
        <v>23</v>
      </c>
      <c r="M110" s="7" t="s">
        <v>100</v>
      </c>
      <c r="N110" s="7" t="s">
        <v>281</v>
      </c>
      <c r="O110" s="7" t="str">
        <f t="shared" si="4"/>
        <v>17–25</v>
      </c>
      <c r="P110" s="7" t="str">
        <f t="shared" si="5"/>
        <v>&gt;0.25</v>
      </c>
      <c r="Q110" s="7" t="str">
        <f t="shared" si="6"/>
        <v>Apr</v>
      </c>
      <c r="R110" s="7" t="str">
        <f t="shared" si="7"/>
        <v>2023</v>
      </c>
    </row>
    <row r="111" spans="1:18" x14ac:dyDescent="0.3">
      <c r="A111" s="7" t="s">
        <v>509</v>
      </c>
      <c r="B111" s="7" t="s">
        <v>885</v>
      </c>
      <c r="C111" s="7" t="s">
        <v>511</v>
      </c>
      <c r="D111" s="8" t="s">
        <v>429</v>
      </c>
      <c r="E111" s="7" t="s">
        <v>512</v>
      </c>
      <c r="F111" s="7" t="s">
        <v>513</v>
      </c>
      <c r="G111" s="7">
        <v>5</v>
      </c>
      <c r="H111" s="7" t="b">
        <v>1</v>
      </c>
      <c r="I111" s="7" t="s">
        <v>19</v>
      </c>
      <c r="J111" s="7">
        <v>0.89</v>
      </c>
      <c r="K111" s="7" t="s">
        <v>20</v>
      </c>
      <c r="L111" s="7">
        <v>34</v>
      </c>
      <c r="M111" s="7" t="s">
        <v>514</v>
      </c>
      <c r="N111" s="7" t="s">
        <v>281</v>
      </c>
      <c r="O111" s="7" t="str">
        <f t="shared" si="4"/>
        <v>34–45</v>
      </c>
      <c r="P111" s="7" t="str">
        <f t="shared" si="5"/>
        <v>0.75&gt;1</v>
      </c>
      <c r="Q111" s="7" t="str">
        <f t="shared" si="6"/>
        <v>Apr</v>
      </c>
      <c r="R111" s="7" t="str">
        <f t="shared" si="7"/>
        <v>2023</v>
      </c>
    </row>
    <row r="112" spans="1:18" x14ac:dyDescent="0.3">
      <c r="A112" s="7" t="s">
        <v>515</v>
      </c>
      <c r="B112" s="7" t="s">
        <v>516</v>
      </c>
      <c r="C112" s="7" t="s">
        <v>517</v>
      </c>
      <c r="D112" s="8" t="s">
        <v>429</v>
      </c>
      <c r="E112" s="7" t="s">
        <v>518</v>
      </c>
      <c r="F112" s="7" t="s">
        <v>519</v>
      </c>
      <c r="G112" s="7">
        <v>2</v>
      </c>
      <c r="H112" s="7" t="b">
        <v>1</v>
      </c>
      <c r="I112" s="7" t="s">
        <v>26</v>
      </c>
      <c r="J112" s="7">
        <v>-0.41</v>
      </c>
      <c r="K112" s="7" t="s">
        <v>848</v>
      </c>
      <c r="L112" s="7">
        <v>29</v>
      </c>
      <c r="M112" s="7" t="s">
        <v>56</v>
      </c>
      <c r="N112" s="7" t="s">
        <v>299</v>
      </c>
      <c r="O112" s="7" t="str">
        <f t="shared" si="4"/>
        <v>26–33</v>
      </c>
      <c r="P112" s="7" t="str">
        <f t="shared" si="5"/>
        <v>&gt;0.25</v>
      </c>
      <c r="Q112" s="7" t="str">
        <f t="shared" si="6"/>
        <v>Apr</v>
      </c>
      <c r="R112" s="7" t="str">
        <f t="shared" si="7"/>
        <v>2023</v>
      </c>
    </row>
    <row r="113" spans="1:18" x14ac:dyDescent="0.3">
      <c r="A113" s="7" t="s">
        <v>520</v>
      </c>
      <c r="B113" s="7" t="s">
        <v>886</v>
      </c>
      <c r="C113" s="7" t="s">
        <v>522</v>
      </c>
      <c r="D113" s="8" t="s">
        <v>433</v>
      </c>
      <c r="E113" s="7" t="s">
        <v>523</v>
      </c>
      <c r="F113" s="7" t="s">
        <v>524</v>
      </c>
      <c r="G113" s="7">
        <v>4</v>
      </c>
      <c r="H113" s="7" t="b">
        <v>1</v>
      </c>
      <c r="I113" s="7" t="s">
        <v>35</v>
      </c>
      <c r="J113" s="7">
        <v>0.14000000000000001</v>
      </c>
      <c r="K113" s="7" t="s">
        <v>27</v>
      </c>
      <c r="L113" s="7">
        <v>50</v>
      </c>
      <c r="M113" s="7" t="s">
        <v>104</v>
      </c>
      <c r="N113" s="7" t="s">
        <v>281</v>
      </c>
      <c r="O113" s="7" t="str">
        <f t="shared" si="4"/>
        <v>46–55</v>
      </c>
      <c r="P113" s="7" t="str">
        <f t="shared" si="5"/>
        <v>&gt;0.25</v>
      </c>
      <c r="Q113" s="7" t="str">
        <f t="shared" si="6"/>
        <v>Apr</v>
      </c>
      <c r="R113" s="7" t="str">
        <f t="shared" si="7"/>
        <v>2023</v>
      </c>
    </row>
    <row r="114" spans="1:18" x14ac:dyDescent="0.3">
      <c r="A114" s="7" t="s">
        <v>525</v>
      </c>
      <c r="B114" s="7" t="s">
        <v>526</v>
      </c>
      <c r="C114" s="7" t="s">
        <v>517</v>
      </c>
      <c r="D114" s="8" t="s">
        <v>433</v>
      </c>
      <c r="E114" s="7" t="s">
        <v>527</v>
      </c>
      <c r="F114" s="7" t="s">
        <v>528</v>
      </c>
      <c r="G114" s="7">
        <v>5</v>
      </c>
      <c r="H114" s="7" t="b">
        <v>1</v>
      </c>
      <c r="I114" s="7" t="s">
        <v>19</v>
      </c>
      <c r="J114" s="7">
        <v>0.94</v>
      </c>
      <c r="K114" s="7" t="s">
        <v>20</v>
      </c>
      <c r="L114" s="7">
        <v>36</v>
      </c>
      <c r="M114" s="7" t="s">
        <v>126</v>
      </c>
      <c r="N114" s="7" t="s">
        <v>309</v>
      </c>
      <c r="O114" s="7" t="str">
        <f t="shared" si="4"/>
        <v>34–45</v>
      </c>
      <c r="P114" s="7" t="str">
        <f t="shared" si="5"/>
        <v>0.75&gt;1</v>
      </c>
      <c r="Q114" s="7" t="str">
        <f t="shared" si="6"/>
        <v>Apr</v>
      </c>
      <c r="R114" s="7" t="str">
        <f t="shared" si="7"/>
        <v>2023</v>
      </c>
    </row>
    <row r="115" spans="1:18" x14ac:dyDescent="0.3">
      <c r="A115" s="7" t="s">
        <v>529</v>
      </c>
      <c r="B115" s="7" t="s">
        <v>530</v>
      </c>
      <c r="C115" s="7" t="s">
        <v>531</v>
      </c>
      <c r="D115" s="8" t="s">
        <v>433</v>
      </c>
      <c r="E115" s="7" t="s">
        <v>532</v>
      </c>
      <c r="F115" s="7" t="s">
        <v>533</v>
      </c>
      <c r="G115" s="7">
        <v>3</v>
      </c>
      <c r="H115" s="7" t="b">
        <v>0</v>
      </c>
      <c r="I115" s="7" t="s">
        <v>35</v>
      </c>
      <c r="J115" s="7">
        <v>0.03</v>
      </c>
      <c r="K115" s="7" t="s">
        <v>27</v>
      </c>
      <c r="L115" s="7">
        <v>40</v>
      </c>
      <c r="M115" s="7" t="s">
        <v>366</v>
      </c>
      <c r="N115" s="7" t="s">
        <v>367</v>
      </c>
      <c r="O115" s="7" t="str">
        <f t="shared" si="4"/>
        <v>34–45</v>
      </c>
      <c r="P115" s="7" t="str">
        <f t="shared" si="5"/>
        <v>&gt;0.25</v>
      </c>
      <c r="Q115" s="7" t="str">
        <f t="shared" si="6"/>
        <v>Apr</v>
      </c>
      <c r="R115" s="7" t="str">
        <f t="shared" si="7"/>
        <v>2023</v>
      </c>
    </row>
    <row r="116" spans="1:18" x14ac:dyDescent="0.3">
      <c r="A116" s="7" t="s">
        <v>534</v>
      </c>
      <c r="B116" s="7" t="s">
        <v>535</v>
      </c>
      <c r="C116" s="7" t="s">
        <v>511</v>
      </c>
      <c r="D116" s="8" t="s">
        <v>439</v>
      </c>
      <c r="E116" s="7" t="s">
        <v>536</v>
      </c>
      <c r="F116" s="7" t="s">
        <v>537</v>
      </c>
      <c r="G116" s="7">
        <v>5</v>
      </c>
      <c r="H116" s="7" t="b">
        <v>1</v>
      </c>
      <c r="I116" s="7" t="s">
        <v>19</v>
      </c>
      <c r="J116" s="7">
        <v>0.82</v>
      </c>
      <c r="K116" s="7" t="s">
        <v>27</v>
      </c>
      <c r="L116" s="7">
        <v>47</v>
      </c>
      <c r="M116" s="7" t="s">
        <v>50</v>
      </c>
      <c r="N116" s="7" t="s">
        <v>293</v>
      </c>
      <c r="O116" s="7" t="str">
        <f t="shared" si="4"/>
        <v>46–55</v>
      </c>
      <c r="P116" s="7" t="str">
        <f t="shared" si="5"/>
        <v>0.75&gt;1</v>
      </c>
      <c r="Q116" s="7" t="str">
        <f t="shared" si="6"/>
        <v>Apr</v>
      </c>
      <c r="R116" s="7" t="str">
        <f t="shared" si="7"/>
        <v>2023</v>
      </c>
    </row>
    <row r="117" spans="1:18" x14ac:dyDescent="0.3">
      <c r="A117" s="7" t="s">
        <v>538</v>
      </c>
      <c r="B117" s="7" t="s">
        <v>539</v>
      </c>
      <c r="C117" s="7" t="s">
        <v>488</v>
      </c>
      <c r="D117" s="8" t="s">
        <v>439</v>
      </c>
      <c r="E117" s="7" t="s">
        <v>839</v>
      </c>
      <c r="F117" s="7" t="s">
        <v>540</v>
      </c>
      <c r="G117" s="7">
        <v>4</v>
      </c>
      <c r="H117" s="7" t="b">
        <v>1</v>
      </c>
      <c r="I117" s="7" t="s">
        <v>19</v>
      </c>
      <c r="J117" s="7">
        <v>0.48</v>
      </c>
      <c r="K117" s="7" t="s">
        <v>848</v>
      </c>
      <c r="L117" s="7">
        <v>31</v>
      </c>
      <c r="M117" s="7" t="s">
        <v>848</v>
      </c>
      <c r="N117" s="7" t="s">
        <v>848</v>
      </c>
      <c r="O117" s="7" t="str">
        <f t="shared" si="4"/>
        <v>26–33</v>
      </c>
      <c r="P117" s="7" t="str">
        <f t="shared" si="5"/>
        <v>0.25&gt;0.5</v>
      </c>
      <c r="Q117" s="7" t="str">
        <f t="shared" si="6"/>
        <v>Apr</v>
      </c>
      <c r="R117" s="7" t="str">
        <f t="shared" si="7"/>
        <v>2023</v>
      </c>
    </row>
    <row r="118" spans="1:18" x14ac:dyDescent="0.3">
      <c r="A118" s="7" t="s">
        <v>541</v>
      </c>
      <c r="B118" s="7" t="s">
        <v>542</v>
      </c>
      <c r="C118" s="7" t="s">
        <v>507</v>
      </c>
      <c r="D118" s="8" t="s">
        <v>443</v>
      </c>
      <c r="E118" s="7" t="s">
        <v>332</v>
      </c>
      <c r="F118" s="7" t="s">
        <v>543</v>
      </c>
      <c r="G118" s="7">
        <v>1</v>
      </c>
      <c r="H118" s="7" t="b">
        <v>1</v>
      </c>
      <c r="I118" s="7" t="s">
        <v>26</v>
      </c>
      <c r="J118" s="7">
        <v>-0.84</v>
      </c>
      <c r="K118" s="7" t="s">
        <v>20</v>
      </c>
      <c r="L118" s="7">
        <v>65</v>
      </c>
      <c r="M118" s="7" t="s">
        <v>91</v>
      </c>
      <c r="N118" s="7" t="s">
        <v>544</v>
      </c>
      <c r="O118" s="7" t="str">
        <f t="shared" si="4"/>
        <v>56-66</v>
      </c>
      <c r="P118" s="7" t="str">
        <f t="shared" si="5"/>
        <v>&gt;0.25</v>
      </c>
      <c r="Q118" s="7" t="str">
        <f t="shared" si="6"/>
        <v>Apr</v>
      </c>
      <c r="R118" s="7" t="str">
        <f t="shared" si="7"/>
        <v>2023</v>
      </c>
    </row>
    <row r="119" spans="1:18" x14ac:dyDescent="0.3">
      <c r="A119" s="7" t="s">
        <v>545</v>
      </c>
      <c r="B119" s="7" t="s">
        <v>887</v>
      </c>
      <c r="C119" s="7" t="s">
        <v>522</v>
      </c>
      <c r="D119" s="8" t="s">
        <v>443</v>
      </c>
      <c r="E119" s="7" t="s">
        <v>278</v>
      </c>
      <c r="F119" s="7" t="s">
        <v>547</v>
      </c>
      <c r="G119" s="7">
        <v>4</v>
      </c>
      <c r="H119" s="7" t="b">
        <v>0</v>
      </c>
      <c r="I119" s="7" t="s">
        <v>19</v>
      </c>
      <c r="J119" s="7">
        <v>0.41</v>
      </c>
      <c r="K119" s="7" t="s">
        <v>27</v>
      </c>
      <c r="L119" s="7">
        <v>26</v>
      </c>
      <c r="M119" s="7" t="s">
        <v>62</v>
      </c>
      <c r="N119" s="7" t="s">
        <v>281</v>
      </c>
      <c r="O119" s="7" t="str">
        <f t="shared" si="4"/>
        <v>26–33</v>
      </c>
      <c r="P119" s="7" t="str">
        <f t="shared" si="5"/>
        <v>0.25&gt;0.5</v>
      </c>
      <c r="Q119" s="7" t="str">
        <f t="shared" si="6"/>
        <v>Apr</v>
      </c>
      <c r="R119" s="7" t="str">
        <f t="shared" si="7"/>
        <v>2023</v>
      </c>
    </row>
    <row r="120" spans="1:18" x14ac:dyDescent="0.3">
      <c r="A120" s="7" t="s">
        <v>548</v>
      </c>
      <c r="B120" s="7" t="s">
        <v>888</v>
      </c>
      <c r="C120" s="7" t="s">
        <v>498</v>
      </c>
      <c r="D120" s="8" t="s">
        <v>137</v>
      </c>
      <c r="E120" s="7" t="s">
        <v>550</v>
      </c>
      <c r="F120" s="7" t="s">
        <v>551</v>
      </c>
      <c r="G120" s="7">
        <v>3</v>
      </c>
      <c r="H120" s="7" t="b">
        <v>0</v>
      </c>
      <c r="I120" s="7" t="s">
        <v>35</v>
      </c>
      <c r="J120" s="7">
        <v>-0.03</v>
      </c>
      <c r="K120" s="7" t="s">
        <v>20</v>
      </c>
      <c r="L120" s="7">
        <v>33</v>
      </c>
      <c r="M120" s="7" t="s">
        <v>552</v>
      </c>
      <c r="N120" s="7" t="s">
        <v>281</v>
      </c>
      <c r="O120" s="7" t="str">
        <f t="shared" si="4"/>
        <v>26–33</v>
      </c>
      <c r="P120" s="7" t="str">
        <f t="shared" si="5"/>
        <v>&gt;0.25</v>
      </c>
      <c r="Q120" s="7" t="str">
        <f t="shared" si="6"/>
        <v>Apr</v>
      </c>
      <c r="R120" s="7" t="str">
        <f t="shared" si="7"/>
        <v>2023</v>
      </c>
    </row>
    <row r="121" spans="1:18" x14ac:dyDescent="0.3">
      <c r="A121" s="7" t="s">
        <v>553</v>
      </c>
      <c r="B121" s="7" t="s">
        <v>889</v>
      </c>
      <c r="C121" s="7" t="s">
        <v>555</v>
      </c>
      <c r="D121" s="8" t="s">
        <v>137</v>
      </c>
      <c r="E121" s="7" t="s">
        <v>556</v>
      </c>
      <c r="F121" s="7" t="s">
        <v>557</v>
      </c>
      <c r="G121" s="7">
        <v>5</v>
      </c>
      <c r="H121" s="7" t="b">
        <v>1</v>
      </c>
      <c r="I121" s="7" t="s">
        <v>19</v>
      </c>
      <c r="J121" s="7">
        <v>0.76</v>
      </c>
      <c r="K121" s="7" t="s">
        <v>20</v>
      </c>
      <c r="L121" s="7">
        <v>21</v>
      </c>
      <c r="M121" s="7" t="s">
        <v>42</v>
      </c>
      <c r="N121" s="7" t="s">
        <v>43</v>
      </c>
      <c r="O121" s="7" t="str">
        <f t="shared" si="4"/>
        <v>17–25</v>
      </c>
      <c r="P121" s="7" t="str">
        <f t="shared" si="5"/>
        <v>0.75&gt;1</v>
      </c>
      <c r="Q121" s="7" t="str">
        <f t="shared" si="6"/>
        <v>Apr</v>
      </c>
      <c r="R121" s="7" t="str">
        <f t="shared" si="7"/>
        <v>2023</v>
      </c>
    </row>
    <row r="122" spans="1:18" x14ac:dyDescent="0.3">
      <c r="A122" s="7" t="s">
        <v>558</v>
      </c>
      <c r="B122" s="7" t="s">
        <v>559</v>
      </c>
      <c r="C122" s="7" t="s">
        <v>484</v>
      </c>
      <c r="D122" s="8" t="s">
        <v>456</v>
      </c>
      <c r="E122" s="7" t="s">
        <v>560</v>
      </c>
      <c r="F122" s="7" t="s">
        <v>561</v>
      </c>
      <c r="G122" s="7">
        <v>1</v>
      </c>
      <c r="H122" s="7" t="b">
        <v>1</v>
      </c>
      <c r="I122" s="7" t="s">
        <v>26</v>
      </c>
      <c r="J122" s="7">
        <v>-0.75</v>
      </c>
      <c r="K122" s="7" t="s">
        <v>27</v>
      </c>
      <c r="L122" s="7">
        <v>58</v>
      </c>
      <c r="M122" s="7" t="s">
        <v>562</v>
      </c>
      <c r="N122" s="7" t="s">
        <v>563</v>
      </c>
      <c r="O122" s="7" t="str">
        <f t="shared" si="4"/>
        <v>56-66</v>
      </c>
      <c r="P122" s="7" t="str">
        <f t="shared" si="5"/>
        <v>&gt;0.25</v>
      </c>
      <c r="Q122" s="7" t="str">
        <f t="shared" si="6"/>
        <v>Apr</v>
      </c>
      <c r="R122" s="7" t="str">
        <f t="shared" si="7"/>
        <v>2023</v>
      </c>
    </row>
    <row r="123" spans="1:18" x14ac:dyDescent="0.3">
      <c r="A123" s="7" t="s">
        <v>564</v>
      </c>
      <c r="B123" s="7" t="s">
        <v>565</v>
      </c>
      <c r="C123" s="7" t="s">
        <v>566</v>
      </c>
      <c r="D123" s="8" t="s">
        <v>456</v>
      </c>
      <c r="E123" s="7" t="s">
        <v>453</v>
      </c>
      <c r="F123" s="7" t="s">
        <v>567</v>
      </c>
      <c r="G123" s="7">
        <v>4</v>
      </c>
      <c r="H123" s="7" t="b">
        <v>1</v>
      </c>
      <c r="I123" s="7" t="s">
        <v>19</v>
      </c>
      <c r="J123" s="7">
        <v>0.51</v>
      </c>
      <c r="K123" s="7" t="s">
        <v>20</v>
      </c>
      <c r="L123" s="7">
        <v>39</v>
      </c>
      <c r="M123" s="7" t="s">
        <v>344</v>
      </c>
      <c r="N123" s="7" t="s">
        <v>345</v>
      </c>
      <c r="O123" s="7" t="str">
        <f t="shared" si="4"/>
        <v>34–45</v>
      </c>
      <c r="P123" s="7" t="str">
        <f t="shared" si="5"/>
        <v>0.5&gt;0.75</v>
      </c>
      <c r="Q123" s="7" t="str">
        <f t="shared" si="6"/>
        <v>Apr</v>
      </c>
      <c r="R123" s="7" t="str">
        <f t="shared" si="7"/>
        <v>2023</v>
      </c>
    </row>
    <row r="124" spans="1:18" x14ac:dyDescent="0.3">
      <c r="A124" s="7" t="s">
        <v>568</v>
      </c>
      <c r="B124" s="7" t="s">
        <v>569</v>
      </c>
      <c r="C124" s="7" t="s">
        <v>555</v>
      </c>
      <c r="D124" s="8" t="s">
        <v>461</v>
      </c>
      <c r="E124" s="7" t="s">
        <v>96</v>
      </c>
      <c r="F124" s="7" t="s">
        <v>570</v>
      </c>
      <c r="G124" s="7">
        <v>3</v>
      </c>
      <c r="H124" s="7" t="b">
        <v>0</v>
      </c>
      <c r="I124" s="7" t="s">
        <v>35</v>
      </c>
      <c r="J124" s="7">
        <v>0.01</v>
      </c>
      <c r="K124" s="7" t="s">
        <v>848</v>
      </c>
      <c r="L124" s="7">
        <v>30</v>
      </c>
      <c r="M124" s="7" t="s">
        <v>848</v>
      </c>
      <c r="N124" s="7" t="s">
        <v>848</v>
      </c>
      <c r="O124" s="7" t="str">
        <f t="shared" si="4"/>
        <v>26–33</v>
      </c>
      <c r="P124" s="7" t="str">
        <f t="shared" si="5"/>
        <v>&gt;0.25</v>
      </c>
      <c r="Q124" s="7" t="str">
        <f t="shared" si="6"/>
        <v>Apr</v>
      </c>
      <c r="R124" s="7" t="str">
        <f t="shared" si="7"/>
        <v>2023</v>
      </c>
    </row>
    <row r="125" spans="1:18" x14ac:dyDescent="0.3">
      <c r="A125" s="7" t="s">
        <v>571</v>
      </c>
      <c r="B125" s="7" t="s">
        <v>572</v>
      </c>
      <c r="C125" s="7" t="s">
        <v>517</v>
      </c>
      <c r="D125" s="8" t="s">
        <v>461</v>
      </c>
      <c r="E125" s="7" t="s">
        <v>823</v>
      </c>
      <c r="F125" s="7" t="s">
        <v>573</v>
      </c>
      <c r="G125" s="7">
        <v>5</v>
      </c>
      <c r="H125" s="7" t="b">
        <v>1</v>
      </c>
      <c r="I125" s="7" t="s">
        <v>19</v>
      </c>
      <c r="J125" s="7">
        <v>0.78</v>
      </c>
      <c r="K125" s="7" t="s">
        <v>20</v>
      </c>
      <c r="L125" s="7">
        <v>27</v>
      </c>
      <c r="M125" s="7" t="s">
        <v>258</v>
      </c>
      <c r="N125" s="7" t="s">
        <v>309</v>
      </c>
      <c r="O125" s="7" t="str">
        <f t="shared" si="4"/>
        <v>26–33</v>
      </c>
      <c r="P125" s="7" t="str">
        <f t="shared" si="5"/>
        <v>0.75&gt;1</v>
      </c>
      <c r="Q125" s="7" t="str">
        <f t="shared" si="6"/>
        <v>Apr</v>
      </c>
      <c r="R125" s="7" t="str">
        <f t="shared" si="7"/>
        <v>2023</v>
      </c>
    </row>
    <row r="126" spans="1:18" x14ac:dyDescent="0.3">
      <c r="A126" s="7" t="s">
        <v>574</v>
      </c>
      <c r="B126" s="7" t="s">
        <v>575</v>
      </c>
      <c r="C126" s="7" t="s">
        <v>493</v>
      </c>
      <c r="D126" s="8" t="s">
        <v>173</v>
      </c>
      <c r="E126" s="7" t="s">
        <v>824</v>
      </c>
      <c r="F126" s="7" t="s">
        <v>576</v>
      </c>
      <c r="G126" s="7">
        <v>2</v>
      </c>
      <c r="H126" s="7" t="b">
        <v>0</v>
      </c>
      <c r="I126" s="7" t="s">
        <v>26</v>
      </c>
      <c r="J126" s="7">
        <v>-0.61</v>
      </c>
      <c r="K126" s="7" t="s">
        <v>848</v>
      </c>
      <c r="L126" s="7">
        <v>45</v>
      </c>
      <c r="M126" s="7" t="s">
        <v>388</v>
      </c>
      <c r="N126" s="7" t="s">
        <v>389</v>
      </c>
      <c r="O126" s="7" t="str">
        <f t="shared" si="4"/>
        <v>34–45</v>
      </c>
      <c r="P126" s="7" t="str">
        <f t="shared" si="5"/>
        <v>&gt;0.25</v>
      </c>
      <c r="Q126" s="7" t="str">
        <f t="shared" si="6"/>
        <v>Apr</v>
      </c>
      <c r="R126" s="7" t="str">
        <f t="shared" si="7"/>
        <v>2023</v>
      </c>
    </row>
    <row r="127" spans="1:18" x14ac:dyDescent="0.3">
      <c r="A127" s="7" t="s">
        <v>577</v>
      </c>
      <c r="B127" s="7" t="s">
        <v>578</v>
      </c>
      <c r="C127" s="7" t="s">
        <v>531</v>
      </c>
      <c r="D127" s="8" t="s">
        <v>173</v>
      </c>
      <c r="E127" s="7" t="s">
        <v>825</v>
      </c>
      <c r="F127" s="7" t="s">
        <v>579</v>
      </c>
      <c r="G127" s="7">
        <v>5</v>
      </c>
      <c r="H127" s="7" t="b">
        <v>1</v>
      </c>
      <c r="I127" s="7" t="s">
        <v>19</v>
      </c>
      <c r="J127" s="7">
        <v>0.85</v>
      </c>
      <c r="K127" s="7" t="s">
        <v>20</v>
      </c>
      <c r="L127" s="7">
        <v>23</v>
      </c>
      <c r="M127" s="7" t="s">
        <v>201</v>
      </c>
      <c r="N127" s="7" t="s">
        <v>315</v>
      </c>
      <c r="O127" s="7" t="str">
        <f t="shared" si="4"/>
        <v>17–25</v>
      </c>
      <c r="P127" s="7" t="str">
        <f t="shared" si="5"/>
        <v>0.75&gt;1</v>
      </c>
      <c r="Q127" s="7" t="str">
        <f t="shared" si="6"/>
        <v>Apr</v>
      </c>
      <c r="R127" s="7" t="str">
        <f t="shared" si="7"/>
        <v>2023</v>
      </c>
    </row>
    <row r="128" spans="1:18" x14ac:dyDescent="0.3">
      <c r="A128" s="7" t="s">
        <v>580</v>
      </c>
      <c r="B128" s="7" t="s">
        <v>581</v>
      </c>
      <c r="C128" s="7" t="s">
        <v>566</v>
      </c>
      <c r="D128" s="8" t="s">
        <v>173</v>
      </c>
      <c r="E128" s="7" t="s">
        <v>826</v>
      </c>
      <c r="F128" s="7" t="s">
        <v>582</v>
      </c>
      <c r="G128" s="7">
        <v>4</v>
      </c>
      <c r="H128" s="7" t="b">
        <v>1</v>
      </c>
      <c r="I128" s="7" t="s">
        <v>19</v>
      </c>
      <c r="J128" s="7">
        <v>0.44</v>
      </c>
      <c r="K128" s="7" t="s">
        <v>20</v>
      </c>
      <c r="L128" s="7">
        <v>35</v>
      </c>
      <c r="M128" s="7" t="s">
        <v>155</v>
      </c>
      <c r="N128" s="7" t="s">
        <v>583</v>
      </c>
      <c r="O128" s="7" t="str">
        <f t="shared" si="4"/>
        <v>34–45</v>
      </c>
      <c r="P128" s="7" t="str">
        <f t="shared" si="5"/>
        <v>0.25&gt;0.5</v>
      </c>
      <c r="Q128" s="7" t="str">
        <f t="shared" si="6"/>
        <v>Apr</v>
      </c>
      <c r="R128" s="7" t="str">
        <f t="shared" si="7"/>
        <v>2023</v>
      </c>
    </row>
    <row r="129" spans="1:18" x14ac:dyDescent="0.3">
      <c r="A129" s="7" t="s">
        <v>584</v>
      </c>
      <c r="B129" s="7" t="s">
        <v>585</v>
      </c>
      <c r="C129" s="7" t="s">
        <v>488</v>
      </c>
      <c r="D129" s="8" t="s">
        <v>473</v>
      </c>
      <c r="E129" s="7" t="s">
        <v>840</v>
      </c>
      <c r="F129" s="7" t="s">
        <v>586</v>
      </c>
      <c r="G129" s="7">
        <v>3</v>
      </c>
      <c r="H129" s="7" t="b">
        <v>0</v>
      </c>
      <c r="I129" s="7" t="s">
        <v>35</v>
      </c>
      <c r="J129" s="7">
        <v>0.06</v>
      </c>
      <c r="K129" s="7" t="s">
        <v>848</v>
      </c>
      <c r="L129" s="7">
        <v>33</v>
      </c>
      <c r="M129" s="7" t="s">
        <v>848</v>
      </c>
      <c r="N129" s="7" t="s">
        <v>848</v>
      </c>
      <c r="O129" s="7" t="str">
        <f t="shared" si="4"/>
        <v>26–33</v>
      </c>
      <c r="P129" s="7" t="str">
        <f t="shared" si="5"/>
        <v>&gt;0.25</v>
      </c>
      <c r="Q129" s="7" t="str">
        <f t="shared" si="6"/>
        <v>Apr</v>
      </c>
      <c r="R129" s="7" t="str">
        <f t="shared" si="7"/>
        <v>2023</v>
      </c>
    </row>
    <row r="130" spans="1:18" x14ac:dyDescent="0.3">
      <c r="A130" s="7" t="s">
        <v>587</v>
      </c>
      <c r="B130" s="7" t="s">
        <v>588</v>
      </c>
      <c r="C130" s="7" t="s">
        <v>493</v>
      </c>
      <c r="D130" s="8" t="s">
        <v>473</v>
      </c>
      <c r="E130" s="7" t="s">
        <v>849</v>
      </c>
      <c r="F130" s="7" t="s">
        <v>589</v>
      </c>
      <c r="G130" s="7">
        <v>1</v>
      </c>
      <c r="H130" s="7" t="b">
        <v>0</v>
      </c>
      <c r="I130" s="7" t="s">
        <v>26</v>
      </c>
      <c r="J130" s="7">
        <v>-0.92</v>
      </c>
      <c r="K130" s="7" t="s">
        <v>27</v>
      </c>
      <c r="L130" s="7">
        <v>60</v>
      </c>
      <c r="M130" s="7" t="s">
        <v>181</v>
      </c>
      <c r="N130" s="7" t="s">
        <v>360</v>
      </c>
      <c r="O130" s="7" t="str">
        <f t="shared" si="4"/>
        <v>56-66</v>
      </c>
      <c r="P130" s="7" t="str">
        <f t="shared" si="5"/>
        <v>&gt;0.25</v>
      </c>
      <c r="Q130" s="7" t="str">
        <f t="shared" si="6"/>
        <v>Apr</v>
      </c>
      <c r="R130" s="7" t="str">
        <f t="shared" si="7"/>
        <v>2023</v>
      </c>
    </row>
    <row r="131" spans="1:18" x14ac:dyDescent="0.3">
      <c r="A131" s="7" t="s">
        <v>590</v>
      </c>
      <c r="B131" s="7" t="s">
        <v>890</v>
      </c>
      <c r="C131" s="7" t="s">
        <v>511</v>
      </c>
      <c r="D131" s="8" t="s">
        <v>592</v>
      </c>
      <c r="E131" s="7" t="s">
        <v>824</v>
      </c>
      <c r="F131" s="7" t="s">
        <v>593</v>
      </c>
      <c r="G131" s="7">
        <v>4</v>
      </c>
      <c r="H131" s="7" t="b">
        <v>1</v>
      </c>
      <c r="I131" s="7" t="s">
        <v>19</v>
      </c>
      <c r="J131" s="7">
        <v>0.56000000000000005</v>
      </c>
      <c r="K131" s="7" t="s">
        <v>27</v>
      </c>
      <c r="L131" s="7">
        <v>49</v>
      </c>
      <c r="M131" s="7" t="s">
        <v>249</v>
      </c>
      <c r="N131" s="7" t="s">
        <v>281</v>
      </c>
      <c r="O131" s="7" t="str">
        <f t="shared" ref="O131:O194" si="8">IF(L131&lt;=25,"17–25",IF(L131&lt;=33,"26–33",IF(L131&lt;=45,"34–45",IF(L131&lt;=55,"46–55","56-66"))))</f>
        <v>46–55</v>
      </c>
      <c r="P131" s="7" t="str">
        <f t="shared" ref="P131:P194" si="9">IF(J131&lt;0.25,"&gt;0.25",IF(J131&lt;0.5,"0.25&gt;0.5",IF(J131&lt;0.75,"0.5&gt;0.75","0.75&gt;1")))</f>
        <v>0.5&gt;0.75</v>
      </c>
      <c r="Q131" s="7" t="str">
        <f t="shared" ref="Q131:Q194" si="10">TEXT(D131,"MMM")</f>
        <v>Apr</v>
      </c>
      <c r="R131" s="7" t="str">
        <f t="shared" ref="R131:R194" si="11">TEXT(D131,"YYY")</f>
        <v>2023</v>
      </c>
    </row>
    <row r="132" spans="1:18" x14ac:dyDescent="0.3">
      <c r="A132" s="7" t="s">
        <v>594</v>
      </c>
      <c r="B132" s="7" t="s">
        <v>595</v>
      </c>
      <c r="C132" s="7" t="s">
        <v>507</v>
      </c>
      <c r="D132" s="8" t="s">
        <v>592</v>
      </c>
      <c r="E132" s="7" t="s">
        <v>825</v>
      </c>
      <c r="F132" s="7" t="s">
        <v>596</v>
      </c>
      <c r="G132" s="7">
        <v>2</v>
      </c>
      <c r="H132" s="7" t="b">
        <v>1</v>
      </c>
      <c r="I132" s="7" t="s">
        <v>26</v>
      </c>
      <c r="J132" s="7">
        <v>-0.35</v>
      </c>
      <c r="K132" s="7" t="s">
        <v>20</v>
      </c>
      <c r="L132" s="7">
        <v>52</v>
      </c>
      <c r="M132" s="7" t="s">
        <v>597</v>
      </c>
      <c r="N132" s="7" t="s">
        <v>293</v>
      </c>
      <c r="O132" s="7" t="str">
        <f t="shared" si="8"/>
        <v>46–55</v>
      </c>
      <c r="P132" s="7" t="str">
        <f t="shared" si="9"/>
        <v>&gt;0.25</v>
      </c>
      <c r="Q132" s="7" t="str">
        <f t="shared" si="10"/>
        <v>Apr</v>
      </c>
      <c r="R132" s="7" t="str">
        <f t="shared" si="11"/>
        <v>2023</v>
      </c>
    </row>
    <row r="133" spans="1:18" x14ac:dyDescent="0.3">
      <c r="A133" s="7" t="s">
        <v>598</v>
      </c>
      <c r="B133" s="7" t="s">
        <v>599</v>
      </c>
      <c r="C133" s="7" t="s">
        <v>498</v>
      </c>
      <c r="D133" s="8" t="s">
        <v>592</v>
      </c>
      <c r="E133" s="7" t="s">
        <v>826</v>
      </c>
      <c r="F133" s="7" t="s">
        <v>600</v>
      </c>
      <c r="G133" s="7">
        <v>4</v>
      </c>
      <c r="H133" s="7" t="b">
        <v>1</v>
      </c>
      <c r="I133" s="7" t="s">
        <v>19</v>
      </c>
      <c r="J133" s="7">
        <v>0.38</v>
      </c>
      <c r="K133" s="7" t="s">
        <v>27</v>
      </c>
      <c r="L133" s="7">
        <v>42</v>
      </c>
      <c r="M133" s="7" t="s">
        <v>229</v>
      </c>
      <c r="N133" s="7" t="s">
        <v>601</v>
      </c>
      <c r="O133" s="7" t="str">
        <f t="shared" si="8"/>
        <v>34–45</v>
      </c>
      <c r="P133" s="7" t="str">
        <f t="shared" si="9"/>
        <v>0.25&gt;0.5</v>
      </c>
      <c r="Q133" s="7" t="str">
        <f t="shared" si="10"/>
        <v>Apr</v>
      </c>
      <c r="R133" s="7" t="str">
        <f t="shared" si="11"/>
        <v>2023</v>
      </c>
    </row>
    <row r="134" spans="1:18" x14ac:dyDescent="0.3">
      <c r="A134" s="7" t="s">
        <v>602</v>
      </c>
      <c r="B134" s="7" t="s">
        <v>603</v>
      </c>
      <c r="C134" s="7" t="s">
        <v>555</v>
      </c>
      <c r="D134" s="8" t="s">
        <v>16</v>
      </c>
      <c r="E134" s="7" t="s">
        <v>827</v>
      </c>
      <c r="F134" s="7" t="s">
        <v>604</v>
      </c>
      <c r="G134" s="7">
        <v>5</v>
      </c>
      <c r="H134" s="7" t="b">
        <v>1</v>
      </c>
      <c r="I134" s="7" t="s">
        <v>19</v>
      </c>
      <c r="J134" s="7">
        <v>0.69</v>
      </c>
      <c r="K134" s="7" t="s">
        <v>20</v>
      </c>
      <c r="L134" s="7">
        <v>28</v>
      </c>
      <c r="M134" s="7" t="s">
        <v>120</v>
      </c>
      <c r="N134" s="7" t="s">
        <v>293</v>
      </c>
      <c r="O134" s="7" t="str">
        <f t="shared" si="8"/>
        <v>26–33</v>
      </c>
      <c r="P134" s="7" t="str">
        <f t="shared" si="9"/>
        <v>0.5&gt;0.75</v>
      </c>
      <c r="Q134" s="7" t="str">
        <f t="shared" si="10"/>
        <v>Apr</v>
      </c>
      <c r="R134" s="7" t="str">
        <f t="shared" si="11"/>
        <v>2023</v>
      </c>
    </row>
    <row r="135" spans="1:18" x14ac:dyDescent="0.3">
      <c r="A135" s="7" t="s">
        <v>605</v>
      </c>
      <c r="B135" s="7" t="s">
        <v>606</v>
      </c>
      <c r="C135" s="7" t="s">
        <v>531</v>
      </c>
      <c r="D135" s="8" t="s">
        <v>16</v>
      </c>
      <c r="E135" s="7" t="s">
        <v>369</v>
      </c>
      <c r="F135" s="7" t="s">
        <v>607</v>
      </c>
      <c r="G135" s="7">
        <v>3</v>
      </c>
      <c r="H135" s="7" t="b">
        <v>0</v>
      </c>
      <c r="I135" s="7" t="s">
        <v>35</v>
      </c>
      <c r="J135" s="7">
        <v>0.02</v>
      </c>
      <c r="K135" s="7" t="s">
        <v>27</v>
      </c>
      <c r="L135" s="7">
        <v>46</v>
      </c>
      <c r="M135" s="7" t="s">
        <v>848</v>
      </c>
      <c r="N135" s="7" t="s">
        <v>848</v>
      </c>
      <c r="O135" s="7" t="str">
        <f t="shared" si="8"/>
        <v>46–55</v>
      </c>
      <c r="P135" s="7" t="str">
        <f t="shared" si="9"/>
        <v>&gt;0.25</v>
      </c>
      <c r="Q135" s="7" t="str">
        <f t="shared" si="10"/>
        <v>Apr</v>
      </c>
      <c r="R135" s="7" t="str">
        <f t="shared" si="11"/>
        <v>2023</v>
      </c>
    </row>
    <row r="136" spans="1:18" x14ac:dyDescent="0.3">
      <c r="A136" s="7" t="s">
        <v>608</v>
      </c>
      <c r="B136" s="7" t="s">
        <v>609</v>
      </c>
      <c r="C136" s="7" t="s">
        <v>484</v>
      </c>
      <c r="D136" s="8" t="s">
        <v>610</v>
      </c>
      <c r="E136" s="7" t="s">
        <v>823</v>
      </c>
      <c r="F136" s="7" t="s">
        <v>611</v>
      </c>
      <c r="G136" s="7">
        <v>1</v>
      </c>
      <c r="H136" s="7" t="b">
        <v>0</v>
      </c>
      <c r="I136" s="7" t="s">
        <v>26</v>
      </c>
      <c r="J136" s="7">
        <v>-0.88</v>
      </c>
      <c r="K136" s="7" t="s">
        <v>20</v>
      </c>
      <c r="L136" s="7">
        <v>33</v>
      </c>
      <c r="M136" s="7" t="s">
        <v>612</v>
      </c>
      <c r="N136" s="7" t="s">
        <v>274</v>
      </c>
      <c r="O136" s="7" t="str">
        <f t="shared" si="8"/>
        <v>26–33</v>
      </c>
      <c r="P136" s="7" t="str">
        <f t="shared" si="9"/>
        <v>&gt;0.25</v>
      </c>
      <c r="Q136" s="7" t="str">
        <f t="shared" si="10"/>
        <v>Apr</v>
      </c>
      <c r="R136" s="7" t="str">
        <f t="shared" si="11"/>
        <v>2023</v>
      </c>
    </row>
    <row r="137" spans="1:18" x14ac:dyDescent="0.3">
      <c r="A137" s="7" t="s">
        <v>613</v>
      </c>
      <c r="B137" s="7" t="s">
        <v>891</v>
      </c>
      <c r="C137" s="7" t="s">
        <v>522</v>
      </c>
      <c r="D137" s="8" t="s">
        <v>610</v>
      </c>
      <c r="E137" s="7" t="s">
        <v>824</v>
      </c>
      <c r="F137" s="7" t="s">
        <v>892</v>
      </c>
      <c r="G137" s="7">
        <v>4</v>
      </c>
      <c r="H137" s="7" t="b">
        <v>1</v>
      </c>
      <c r="I137" s="7" t="s">
        <v>19</v>
      </c>
      <c r="J137" s="7">
        <v>0.61</v>
      </c>
      <c r="K137" s="7" t="s">
        <v>27</v>
      </c>
      <c r="L137" s="7">
        <v>37</v>
      </c>
      <c r="M137" s="7" t="s">
        <v>206</v>
      </c>
      <c r="N137" s="7" t="s">
        <v>43</v>
      </c>
      <c r="O137" s="7" t="str">
        <f t="shared" si="8"/>
        <v>34–45</v>
      </c>
      <c r="P137" s="7" t="str">
        <f t="shared" si="9"/>
        <v>0.5&gt;0.75</v>
      </c>
      <c r="Q137" s="7" t="str">
        <f t="shared" si="10"/>
        <v>Apr</v>
      </c>
      <c r="R137" s="7" t="str">
        <f t="shared" si="11"/>
        <v>2023</v>
      </c>
    </row>
    <row r="138" spans="1:18" x14ac:dyDescent="0.3">
      <c r="A138" s="7" t="s">
        <v>615</v>
      </c>
      <c r="B138" s="7" t="s">
        <v>492</v>
      </c>
      <c r="C138" s="7" t="s">
        <v>488</v>
      </c>
      <c r="D138" s="8" t="s">
        <v>616</v>
      </c>
      <c r="E138" s="7" t="s">
        <v>825</v>
      </c>
      <c r="F138" s="7" t="s">
        <v>617</v>
      </c>
      <c r="G138" s="7">
        <v>4</v>
      </c>
      <c r="H138" s="7" t="b">
        <v>1</v>
      </c>
      <c r="I138" s="7" t="s">
        <v>19</v>
      </c>
      <c r="J138" s="7">
        <v>0.36</v>
      </c>
      <c r="K138" s="7" t="s">
        <v>27</v>
      </c>
      <c r="L138" s="7">
        <v>32</v>
      </c>
      <c r="M138" s="7" t="s">
        <v>164</v>
      </c>
      <c r="N138" s="7" t="s">
        <v>293</v>
      </c>
      <c r="O138" s="7" t="str">
        <f t="shared" si="8"/>
        <v>26–33</v>
      </c>
      <c r="P138" s="7" t="str">
        <f t="shared" si="9"/>
        <v>0.25&gt;0.5</v>
      </c>
      <c r="Q138" s="7" t="str">
        <f t="shared" si="10"/>
        <v>Apr</v>
      </c>
      <c r="R138" s="7" t="str">
        <f t="shared" si="11"/>
        <v>2023</v>
      </c>
    </row>
    <row r="139" spans="1:18" x14ac:dyDescent="0.3">
      <c r="A139" s="7" t="s">
        <v>618</v>
      </c>
      <c r="B139" s="7" t="s">
        <v>483</v>
      </c>
      <c r="C139" s="7" t="s">
        <v>619</v>
      </c>
      <c r="D139" s="8" t="s">
        <v>616</v>
      </c>
      <c r="E139" s="7" t="s">
        <v>841</v>
      </c>
      <c r="F139" s="7" t="s">
        <v>620</v>
      </c>
      <c r="G139" s="7">
        <v>3</v>
      </c>
      <c r="H139" s="7" t="b">
        <v>0</v>
      </c>
      <c r="I139" s="7" t="s">
        <v>35</v>
      </c>
      <c r="J139" s="7">
        <v>-0.01</v>
      </c>
      <c r="K139" s="7" t="s">
        <v>848</v>
      </c>
      <c r="L139" s="7">
        <v>33</v>
      </c>
      <c r="M139" s="7" t="s">
        <v>848</v>
      </c>
      <c r="N139" s="7" t="s">
        <v>848</v>
      </c>
      <c r="O139" s="7" t="str">
        <f t="shared" si="8"/>
        <v>26–33</v>
      </c>
      <c r="P139" s="7" t="str">
        <f t="shared" si="9"/>
        <v>&gt;0.25</v>
      </c>
      <c r="Q139" s="7" t="str">
        <f t="shared" si="10"/>
        <v>Apr</v>
      </c>
      <c r="R139" s="7" t="str">
        <f t="shared" si="11"/>
        <v>2023</v>
      </c>
    </row>
    <row r="140" spans="1:18" x14ac:dyDescent="0.3">
      <c r="A140" s="7" t="s">
        <v>621</v>
      </c>
      <c r="B140" s="7" t="s">
        <v>893</v>
      </c>
      <c r="C140" s="7" t="s">
        <v>507</v>
      </c>
      <c r="D140" s="8" t="s">
        <v>622</v>
      </c>
      <c r="E140" s="7" t="s">
        <v>823</v>
      </c>
      <c r="F140" s="7" t="s">
        <v>623</v>
      </c>
      <c r="G140" s="7">
        <v>5</v>
      </c>
      <c r="H140" s="7" t="b">
        <v>1</v>
      </c>
      <c r="I140" s="7" t="s">
        <v>19</v>
      </c>
      <c r="J140" s="7">
        <v>0.73</v>
      </c>
      <c r="K140" s="7" t="s">
        <v>20</v>
      </c>
      <c r="L140" s="7">
        <v>54</v>
      </c>
      <c r="M140" s="7" t="s">
        <v>934</v>
      </c>
      <c r="N140" s="7" t="s">
        <v>281</v>
      </c>
      <c r="O140" s="7" t="str">
        <f t="shared" si="8"/>
        <v>46–55</v>
      </c>
      <c r="P140" s="7" t="str">
        <f t="shared" si="9"/>
        <v>0.5&gt;0.75</v>
      </c>
      <c r="Q140" s="7" t="str">
        <f t="shared" si="10"/>
        <v>Apr</v>
      </c>
      <c r="R140" s="7" t="str">
        <f t="shared" si="11"/>
        <v>2023</v>
      </c>
    </row>
    <row r="141" spans="1:18" x14ac:dyDescent="0.3">
      <c r="A141" s="7" t="s">
        <v>624</v>
      </c>
      <c r="B141" s="7" t="s">
        <v>884</v>
      </c>
      <c r="C141" s="7" t="s">
        <v>511</v>
      </c>
      <c r="D141" s="8" t="s">
        <v>622</v>
      </c>
      <c r="E141" s="7" t="s">
        <v>824</v>
      </c>
      <c r="F141" s="7" t="s">
        <v>625</v>
      </c>
      <c r="G141" s="7">
        <v>4</v>
      </c>
      <c r="H141" s="7" t="b">
        <v>1</v>
      </c>
      <c r="I141" s="7" t="s">
        <v>19</v>
      </c>
      <c r="J141" s="7">
        <v>0.47</v>
      </c>
      <c r="K141" s="7" t="s">
        <v>27</v>
      </c>
      <c r="L141" s="7">
        <v>44</v>
      </c>
      <c r="M141" s="7" t="s">
        <v>68</v>
      </c>
      <c r="N141" s="7" t="s">
        <v>281</v>
      </c>
      <c r="O141" s="7" t="str">
        <f t="shared" si="8"/>
        <v>34–45</v>
      </c>
      <c r="P141" s="7" t="str">
        <f t="shared" si="9"/>
        <v>0.25&gt;0.5</v>
      </c>
      <c r="Q141" s="7" t="str">
        <f t="shared" si="10"/>
        <v>Apr</v>
      </c>
      <c r="R141" s="7" t="str">
        <f t="shared" si="11"/>
        <v>2023</v>
      </c>
    </row>
    <row r="142" spans="1:18" x14ac:dyDescent="0.3">
      <c r="A142" s="7" t="s">
        <v>626</v>
      </c>
      <c r="B142" s="7" t="s">
        <v>487</v>
      </c>
      <c r="C142" s="7" t="s">
        <v>555</v>
      </c>
      <c r="D142" s="8" t="s">
        <v>627</v>
      </c>
      <c r="E142" s="7" t="s">
        <v>825</v>
      </c>
      <c r="F142" s="7" t="s">
        <v>628</v>
      </c>
      <c r="G142" s="7">
        <v>3</v>
      </c>
      <c r="H142" s="7" t="b">
        <v>0</v>
      </c>
      <c r="I142" s="7" t="s">
        <v>35</v>
      </c>
      <c r="J142" s="7">
        <v>0.08</v>
      </c>
      <c r="K142" s="7" t="s">
        <v>20</v>
      </c>
      <c r="L142" s="7">
        <v>22</v>
      </c>
      <c r="M142" s="7" t="s">
        <v>191</v>
      </c>
      <c r="N142" s="7" t="s">
        <v>629</v>
      </c>
      <c r="O142" s="7" t="str">
        <f t="shared" si="8"/>
        <v>17–25</v>
      </c>
      <c r="P142" s="7" t="str">
        <f t="shared" si="9"/>
        <v>&gt;0.25</v>
      </c>
      <c r="Q142" s="7" t="str">
        <f t="shared" si="10"/>
        <v>Apr</v>
      </c>
      <c r="R142" s="7" t="str">
        <f t="shared" si="11"/>
        <v>2023</v>
      </c>
    </row>
    <row r="143" spans="1:18" x14ac:dyDescent="0.3">
      <c r="A143" s="7" t="s">
        <v>630</v>
      </c>
      <c r="B143" s="7" t="s">
        <v>575</v>
      </c>
      <c r="C143" s="7" t="s">
        <v>619</v>
      </c>
      <c r="D143" s="8" t="s">
        <v>627</v>
      </c>
      <c r="E143" s="7" t="s">
        <v>826</v>
      </c>
      <c r="F143" s="7" t="s">
        <v>631</v>
      </c>
      <c r="G143" s="7">
        <v>2</v>
      </c>
      <c r="H143" s="7" t="b">
        <v>0</v>
      </c>
      <c r="I143" s="7" t="s">
        <v>26</v>
      </c>
      <c r="J143" s="7">
        <v>-0.44</v>
      </c>
      <c r="K143" s="7" t="s">
        <v>27</v>
      </c>
      <c r="L143" s="7">
        <v>40</v>
      </c>
      <c r="M143" s="7" t="s">
        <v>632</v>
      </c>
      <c r="N143" s="7" t="s">
        <v>633</v>
      </c>
      <c r="O143" s="7" t="str">
        <f t="shared" si="8"/>
        <v>34–45</v>
      </c>
      <c r="P143" s="7" t="str">
        <f t="shared" si="9"/>
        <v>&gt;0.25</v>
      </c>
      <c r="Q143" s="7" t="str">
        <f t="shared" si="10"/>
        <v>Apr</v>
      </c>
      <c r="R143" s="7" t="str">
        <f t="shared" si="11"/>
        <v>2023</v>
      </c>
    </row>
    <row r="144" spans="1:18" x14ac:dyDescent="0.3">
      <c r="A144" s="7" t="s">
        <v>634</v>
      </c>
      <c r="B144" s="7" t="s">
        <v>572</v>
      </c>
      <c r="C144" s="7" t="s">
        <v>480</v>
      </c>
      <c r="D144" s="8" t="s">
        <v>212</v>
      </c>
      <c r="E144" s="7" t="s">
        <v>827</v>
      </c>
      <c r="F144" s="7" t="s">
        <v>635</v>
      </c>
      <c r="G144" s="7">
        <v>5</v>
      </c>
      <c r="H144" s="7" t="b">
        <v>1</v>
      </c>
      <c r="I144" s="7" t="s">
        <v>19</v>
      </c>
      <c r="J144" s="7">
        <v>0.84</v>
      </c>
      <c r="K144" s="7" t="s">
        <v>27</v>
      </c>
      <c r="L144" s="7">
        <v>38</v>
      </c>
      <c r="M144" s="7" t="s">
        <v>636</v>
      </c>
      <c r="N144" s="7" t="s">
        <v>309</v>
      </c>
      <c r="O144" s="7" t="str">
        <f t="shared" si="8"/>
        <v>34–45</v>
      </c>
      <c r="P144" s="7" t="str">
        <f t="shared" si="9"/>
        <v>0.75&gt;1</v>
      </c>
      <c r="Q144" s="7" t="str">
        <f t="shared" si="10"/>
        <v>Apr</v>
      </c>
      <c r="R144" s="7" t="str">
        <f t="shared" si="11"/>
        <v>2023</v>
      </c>
    </row>
    <row r="145" spans="1:18" x14ac:dyDescent="0.3">
      <c r="A145" s="7" t="s">
        <v>637</v>
      </c>
      <c r="B145" s="7" t="s">
        <v>497</v>
      </c>
      <c r="C145" s="7" t="s">
        <v>484</v>
      </c>
      <c r="D145" s="8" t="s">
        <v>212</v>
      </c>
      <c r="E145" s="7" t="s">
        <v>828</v>
      </c>
      <c r="F145" s="7" t="s">
        <v>638</v>
      </c>
      <c r="G145" s="7">
        <v>1</v>
      </c>
      <c r="H145" s="7" t="b">
        <v>1</v>
      </c>
      <c r="I145" s="7" t="s">
        <v>26</v>
      </c>
      <c r="J145" s="7">
        <v>-0.81</v>
      </c>
      <c r="K145" s="7" t="s">
        <v>20</v>
      </c>
      <c r="L145" s="7">
        <v>57</v>
      </c>
      <c r="M145" s="7" t="s">
        <v>382</v>
      </c>
      <c r="N145" s="7" t="s">
        <v>299</v>
      </c>
      <c r="O145" s="7" t="str">
        <f t="shared" si="8"/>
        <v>56-66</v>
      </c>
      <c r="P145" s="7" t="str">
        <f t="shared" si="9"/>
        <v>&gt;0.25</v>
      </c>
      <c r="Q145" s="7" t="str">
        <f t="shared" si="10"/>
        <v>Apr</v>
      </c>
      <c r="R145" s="7" t="str">
        <f t="shared" si="11"/>
        <v>2023</v>
      </c>
    </row>
    <row r="146" spans="1:18" x14ac:dyDescent="0.3">
      <c r="A146" s="7" t="s">
        <v>639</v>
      </c>
      <c r="B146" s="7" t="s">
        <v>559</v>
      </c>
      <c r="C146" s="7" t="s">
        <v>498</v>
      </c>
      <c r="D146" s="8" t="s">
        <v>640</v>
      </c>
      <c r="E146" s="7" t="s">
        <v>829</v>
      </c>
      <c r="F146" s="7" t="s">
        <v>641</v>
      </c>
      <c r="G146" s="7">
        <v>4</v>
      </c>
      <c r="H146" s="7" t="b">
        <v>1</v>
      </c>
      <c r="I146" s="7" t="s">
        <v>19</v>
      </c>
      <c r="J146" s="7">
        <v>0.62</v>
      </c>
      <c r="K146" s="7" t="s">
        <v>20</v>
      </c>
      <c r="L146" s="7">
        <v>33</v>
      </c>
      <c r="M146" s="7" t="s">
        <v>91</v>
      </c>
      <c r="N146" s="7" t="s">
        <v>544</v>
      </c>
      <c r="O146" s="7" t="str">
        <f t="shared" si="8"/>
        <v>26–33</v>
      </c>
      <c r="P146" s="7" t="str">
        <f t="shared" si="9"/>
        <v>0.5&gt;0.75</v>
      </c>
      <c r="Q146" s="7" t="str">
        <f t="shared" si="10"/>
        <v>Apr</v>
      </c>
      <c r="R146" s="7" t="str">
        <f t="shared" si="11"/>
        <v>2023</v>
      </c>
    </row>
    <row r="147" spans="1:18" x14ac:dyDescent="0.3">
      <c r="A147" s="7" t="s">
        <v>642</v>
      </c>
      <c r="B147" s="7" t="s">
        <v>569</v>
      </c>
      <c r="C147" s="7" t="s">
        <v>511</v>
      </c>
      <c r="D147" s="8" t="s">
        <v>640</v>
      </c>
      <c r="E147" s="7" t="s">
        <v>830</v>
      </c>
      <c r="F147" s="7" t="s">
        <v>850</v>
      </c>
      <c r="G147" s="7">
        <v>4</v>
      </c>
      <c r="H147" s="7" t="b">
        <v>0</v>
      </c>
      <c r="I147" s="7" t="s">
        <v>19</v>
      </c>
      <c r="J147" s="7">
        <v>0.4</v>
      </c>
      <c r="K147" s="7" t="s">
        <v>27</v>
      </c>
      <c r="L147" s="7">
        <v>53</v>
      </c>
      <c r="M147" s="7" t="s">
        <v>181</v>
      </c>
      <c r="N147" s="7" t="s">
        <v>360</v>
      </c>
      <c r="O147" s="7" t="str">
        <f t="shared" si="8"/>
        <v>46–55</v>
      </c>
      <c r="P147" s="7" t="str">
        <f t="shared" si="9"/>
        <v>0.25&gt;0.5</v>
      </c>
      <c r="Q147" s="7" t="str">
        <f t="shared" si="10"/>
        <v>Apr</v>
      </c>
      <c r="R147" s="7" t="str">
        <f t="shared" si="11"/>
        <v>2023</v>
      </c>
    </row>
    <row r="148" spans="1:18" x14ac:dyDescent="0.3">
      <c r="A148" s="7" t="s">
        <v>643</v>
      </c>
      <c r="B148" s="7" t="s">
        <v>644</v>
      </c>
      <c r="C148" s="7" t="s">
        <v>522</v>
      </c>
      <c r="D148" s="8" t="s">
        <v>645</v>
      </c>
      <c r="E148" s="7" t="s">
        <v>831</v>
      </c>
      <c r="F148" s="7" t="s">
        <v>646</v>
      </c>
      <c r="G148" s="7">
        <v>3</v>
      </c>
      <c r="H148" s="7" t="b">
        <v>0</v>
      </c>
      <c r="I148" s="7" t="s">
        <v>35</v>
      </c>
      <c r="J148" s="7">
        <v>0.09</v>
      </c>
      <c r="K148" s="7" t="s">
        <v>20</v>
      </c>
      <c r="L148" s="7">
        <v>19</v>
      </c>
      <c r="M148" s="7" t="s">
        <v>647</v>
      </c>
      <c r="N148" s="7" t="s">
        <v>648</v>
      </c>
      <c r="O148" s="7" t="str">
        <f t="shared" si="8"/>
        <v>17–25</v>
      </c>
      <c r="P148" s="7" t="str">
        <f t="shared" si="9"/>
        <v>&gt;0.25</v>
      </c>
      <c r="Q148" s="7" t="str">
        <f t="shared" si="10"/>
        <v>Apr</v>
      </c>
      <c r="R148" s="7" t="str">
        <f t="shared" si="11"/>
        <v>2023</v>
      </c>
    </row>
    <row r="149" spans="1:18" x14ac:dyDescent="0.3">
      <c r="A149" s="7" t="s">
        <v>649</v>
      </c>
      <c r="B149" s="7" t="s">
        <v>614</v>
      </c>
      <c r="C149" s="7" t="s">
        <v>566</v>
      </c>
      <c r="D149" s="8" t="s">
        <v>645</v>
      </c>
      <c r="E149" s="7" t="s">
        <v>84</v>
      </c>
      <c r="F149" s="7" t="s">
        <v>650</v>
      </c>
      <c r="G149" s="7">
        <v>5</v>
      </c>
      <c r="H149" s="7" t="b">
        <v>1</v>
      </c>
      <c r="I149" s="7" t="s">
        <v>19</v>
      </c>
      <c r="J149" s="7">
        <v>0.8</v>
      </c>
      <c r="K149" s="7" t="s">
        <v>27</v>
      </c>
      <c r="L149" s="7">
        <v>43</v>
      </c>
      <c r="M149" s="7" t="s">
        <v>651</v>
      </c>
      <c r="N149" s="7" t="s">
        <v>629</v>
      </c>
      <c r="O149" s="7" t="str">
        <f t="shared" si="8"/>
        <v>34–45</v>
      </c>
      <c r="P149" s="7" t="str">
        <f t="shared" si="9"/>
        <v>0.75&gt;1</v>
      </c>
      <c r="Q149" s="7" t="str">
        <f t="shared" si="10"/>
        <v>Apr</v>
      </c>
      <c r="R149" s="7" t="str">
        <f t="shared" si="11"/>
        <v>2023</v>
      </c>
    </row>
    <row r="150" spans="1:18" x14ac:dyDescent="0.3">
      <c r="A150" s="7" t="s">
        <v>652</v>
      </c>
      <c r="B150" s="7" t="s">
        <v>653</v>
      </c>
      <c r="C150" s="7" t="s">
        <v>555</v>
      </c>
      <c r="D150" s="8" t="s">
        <v>53</v>
      </c>
      <c r="E150" s="7" t="s">
        <v>654</v>
      </c>
      <c r="F150" s="7" t="s">
        <v>655</v>
      </c>
      <c r="G150" s="7">
        <v>3</v>
      </c>
      <c r="H150" s="7" t="b">
        <v>0</v>
      </c>
      <c r="I150" s="7" t="s">
        <v>35</v>
      </c>
      <c r="J150" s="7">
        <v>0</v>
      </c>
      <c r="K150" s="7" t="s">
        <v>848</v>
      </c>
      <c r="L150" s="7">
        <v>20</v>
      </c>
      <c r="M150" s="7" t="s">
        <v>848</v>
      </c>
      <c r="N150" s="7" t="s">
        <v>848</v>
      </c>
      <c r="O150" s="7" t="str">
        <f t="shared" si="8"/>
        <v>17–25</v>
      </c>
      <c r="P150" s="7" t="str">
        <f t="shared" si="9"/>
        <v>&gt;0.25</v>
      </c>
      <c r="Q150" s="7" t="str">
        <f t="shared" si="10"/>
        <v>Apr</v>
      </c>
      <c r="R150" s="7" t="str">
        <f t="shared" si="11"/>
        <v>2023</v>
      </c>
    </row>
    <row r="151" spans="1:18" x14ac:dyDescent="0.3">
      <c r="A151" s="7" t="s">
        <v>656</v>
      </c>
      <c r="B151" s="7" t="s">
        <v>549</v>
      </c>
      <c r="C151" s="7" t="s">
        <v>619</v>
      </c>
      <c r="D151" s="8" t="s">
        <v>53</v>
      </c>
      <c r="E151" s="7" t="s">
        <v>657</v>
      </c>
      <c r="F151" s="7" t="s">
        <v>658</v>
      </c>
      <c r="G151" s="7">
        <v>1</v>
      </c>
      <c r="H151" s="7" t="b">
        <v>1</v>
      </c>
      <c r="I151" s="7" t="s">
        <v>26</v>
      </c>
      <c r="J151" s="7">
        <v>-0.86</v>
      </c>
      <c r="K151" s="7" t="s">
        <v>27</v>
      </c>
      <c r="L151" s="7">
        <v>66</v>
      </c>
      <c r="M151" s="7" t="s">
        <v>81</v>
      </c>
      <c r="N151" s="7" t="s">
        <v>328</v>
      </c>
      <c r="O151" s="7" t="str">
        <f t="shared" si="8"/>
        <v>56-66</v>
      </c>
      <c r="P151" s="7" t="str">
        <f t="shared" si="9"/>
        <v>&gt;0.25</v>
      </c>
      <c r="Q151" s="7" t="str">
        <f t="shared" si="10"/>
        <v>Apr</v>
      </c>
      <c r="R151" s="7" t="str">
        <f t="shared" si="11"/>
        <v>2023</v>
      </c>
    </row>
    <row r="152" spans="1:18" x14ac:dyDescent="0.3">
      <c r="A152" s="7" t="s">
        <v>659</v>
      </c>
      <c r="B152" s="7" t="s">
        <v>510</v>
      </c>
      <c r="C152" s="7" t="s">
        <v>531</v>
      </c>
      <c r="D152" s="8" t="s">
        <v>53</v>
      </c>
      <c r="E152" s="7" t="s">
        <v>660</v>
      </c>
      <c r="F152" s="7" t="s">
        <v>661</v>
      </c>
      <c r="G152" s="7">
        <v>5</v>
      </c>
      <c r="H152" s="7" t="b">
        <v>1</v>
      </c>
      <c r="I152" s="7" t="s">
        <v>19</v>
      </c>
      <c r="J152" s="7">
        <v>0.86</v>
      </c>
      <c r="K152" s="7" t="s">
        <v>20</v>
      </c>
      <c r="L152" s="7">
        <v>59</v>
      </c>
      <c r="M152" s="7" t="s">
        <v>662</v>
      </c>
      <c r="N152" s="7" t="s">
        <v>663</v>
      </c>
      <c r="O152" s="7" t="str">
        <f t="shared" si="8"/>
        <v>56-66</v>
      </c>
      <c r="P152" s="7" t="str">
        <f t="shared" si="9"/>
        <v>0.75&gt;1</v>
      </c>
      <c r="Q152" s="7" t="str">
        <f t="shared" si="10"/>
        <v>Apr</v>
      </c>
      <c r="R152" s="7" t="str">
        <f t="shared" si="11"/>
        <v>2023</v>
      </c>
    </row>
    <row r="153" spans="1:18" x14ac:dyDescent="0.3">
      <c r="A153" s="7" t="s">
        <v>664</v>
      </c>
      <c r="B153" s="7" t="s">
        <v>591</v>
      </c>
      <c r="C153" s="7" t="s">
        <v>619</v>
      </c>
      <c r="D153" s="8" t="s">
        <v>53</v>
      </c>
      <c r="E153" s="7" t="s">
        <v>842</v>
      </c>
      <c r="F153" s="7" t="s">
        <v>665</v>
      </c>
      <c r="G153" s="7">
        <v>2</v>
      </c>
      <c r="H153" s="7" t="b">
        <v>0</v>
      </c>
      <c r="I153" s="7" t="s">
        <v>26</v>
      </c>
      <c r="J153" s="7">
        <v>-0.28999999999999998</v>
      </c>
      <c r="K153" s="7" t="s">
        <v>848</v>
      </c>
      <c r="L153" s="7">
        <v>27</v>
      </c>
      <c r="M153" s="7" t="s">
        <v>848</v>
      </c>
      <c r="N153" s="7" t="s">
        <v>848</v>
      </c>
      <c r="O153" s="7" t="str">
        <f t="shared" si="8"/>
        <v>26–33</v>
      </c>
      <c r="P153" s="7" t="str">
        <f t="shared" si="9"/>
        <v>&gt;0.25</v>
      </c>
      <c r="Q153" s="7" t="str">
        <f t="shared" si="10"/>
        <v>Apr</v>
      </c>
      <c r="R153" s="7" t="str">
        <f t="shared" si="11"/>
        <v>2023</v>
      </c>
    </row>
    <row r="154" spans="1:18" x14ac:dyDescent="0.3">
      <c r="A154" s="7" t="s">
        <v>666</v>
      </c>
      <c r="B154" s="7" t="s">
        <v>894</v>
      </c>
      <c r="C154" s="7" t="s">
        <v>667</v>
      </c>
      <c r="D154" s="8" t="s">
        <v>668</v>
      </c>
      <c r="E154" s="7" t="s">
        <v>823</v>
      </c>
      <c r="F154" s="7" t="s">
        <v>669</v>
      </c>
      <c r="G154" s="7">
        <v>5</v>
      </c>
      <c r="H154" s="7" t="b">
        <v>1</v>
      </c>
      <c r="I154" s="7" t="s">
        <v>19</v>
      </c>
      <c r="J154" s="7">
        <v>0.92</v>
      </c>
      <c r="K154" s="7" t="s">
        <v>20</v>
      </c>
      <c r="L154" s="7">
        <v>34</v>
      </c>
      <c r="M154" s="7" t="s">
        <v>62</v>
      </c>
      <c r="N154" s="7" t="s">
        <v>281</v>
      </c>
      <c r="O154" s="7" t="str">
        <f t="shared" si="8"/>
        <v>34–45</v>
      </c>
      <c r="P154" s="7" t="str">
        <f t="shared" si="9"/>
        <v>0.75&gt;1</v>
      </c>
      <c r="Q154" s="7" t="str">
        <f t="shared" si="10"/>
        <v>Jun</v>
      </c>
      <c r="R154" s="7" t="str">
        <f t="shared" si="11"/>
        <v>2024</v>
      </c>
    </row>
    <row r="155" spans="1:18" x14ac:dyDescent="0.3">
      <c r="A155" s="7" t="s">
        <v>670</v>
      </c>
      <c r="B155" s="7" t="s">
        <v>893</v>
      </c>
      <c r="C155" s="7" t="s">
        <v>671</v>
      </c>
      <c r="D155" s="8" t="s">
        <v>672</v>
      </c>
      <c r="E155" s="7" t="s">
        <v>824</v>
      </c>
      <c r="F155" s="7" t="s">
        <v>673</v>
      </c>
      <c r="G155" s="7">
        <v>2</v>
      </c>
      <c r="H155" s="7" t="b">
        <v>1</v>
      </c>
      <c r="I155" s="7" t="s">
        <v>26</v>
      </c>
      <c r="J155" s="7">
        <v>-0.78</v>
      </c>
      <c r="K155" s="7" t="s">
        <v>27</v>
      </c>
      <c r="L155" s="7">
        <v>28</v>
      </c>
      <c r="M155" s="7" t="s">
        <v>100</v>
      </c>
      <c r="N155" s="7" t="s">
        <v>281</v>
      </c>
      <c r="O155" s="7" t="str">
        <f t="shared" si="8"/>
        <v>26–33</v>
      </c>
      <c r="P155" s="7" t="str">
        <f t="shared" si="9"/>
        <v>&gt;0.25</v>
      </c>
      <c r="Q155" s="7" t="str">
        <f t="shared" si="10"/>
        <v>Jun</v>
      </c>
      <c r="R155" s="7" t="str">
        <f t="shared" si="11"/>
        <v>2024</v>
      </c>
    </row>
    <row r="156" spans="1:18" x14ac:dyDescent="0.3">
      <c r="A156" s="7" t="s">
        <v>674</v>
      </c>
      <c r="B156" s="7" t="s">
        <v>895</v>
      </c>
      <c r="C156" s="7" t="s">
        <v>675</v>
      </c>
      <c r="D156" s="8" t="s">
        <v>676</v>
      </c>
      <c r="E156" s="7" t="s">
        <v>825</v>
      </c>
      <c r="F156" s="7" t="s">
        <v>677</v>
      </c>
      <c r="G156" s="7">
        <v>4</v>
      </c>
      <c r="H156" s="7" t="b">
        <v>1</v>
      </c>
      <c r="I156" s="7" t="s">
        <v>19</v>
      </c>
      <c r="J156" s="7">
        <v>0.75</v>
      </c>
      <c r="K156" s="7" t="s">
        <v>848</v>
      </c>
      <c r="L156" s="7">
        <v>23</v>
      </c>
      <c r="M156" s="7" t="s">
        <v>159</v>
      </c>
      <c r="N156" s="7" t="s">
        <v>281</v>
      </c>
      <c r="O156" s="7" t="str">
        <f t="shared" si="8"/>
        <v>17–25</v>
      </c>
      <c r="P156" s="7" t="str">
        <f t="shared" si="9"/>
        <v>0.75&gt;1</v>
      </c>
      <c r="Q156" s="7" t="str">
        <f t="shared" si="10"/>
        <v>May</v>
      </c>
      <c r="R156" s="7" t="str">
        <f t="shared" si="11"/>
        <v>2024</v>
      </c>
    </row>
    <row r="157" spans="1:18" x14ac:dyDescent="0.3">
      <c r="A157" s="7" t="s">
        <v>678</v>
      </c>
      <c r="B157" s="7" t="s">
        <v>479</v>
      </c>
      <c r="C157" s="7" t="s">
        <v>679</v>
      </c>
      <c r="D157" s="8" t="s">
        <v>680</v>
      </c>
      <c r="E157" s="7" t="s">
        <v>826</v>
      </c>
      <c r="F157" s="7" t="s">
        <v>681</v>
      </c>
      <c r="G157" s="7">
        <v>3</v>
      </c>
      <c r="H157" s="7" t="b">
        <v>0</v>
      </c>
      <c r="I157" s="7" t="s">
        <v>35</v>
      </c>
      <c r="J157" s="7">
        <v>0.1</v>
      </c>
      <c r="K157" s="7" t="s">
        <v>848</v>
      </c>
      <c r="L157" s="7">
        <v>46</v>
      </c>
      <c r="M157" s="7" t="s">
        <v>126</v>
      </c>
      <c r="N157" s="7" t="s">
        <v>309</v>
      </c>
      <c r="O157" s="7" t="str">
        <f t="shared" si="8"/>
        <v>46–55</v>
      </c>
      <c r="P157" s="7" t="str">
        <f t="shared" si="9"/>
        <v>&gt;0.25</v>
      </c>
      <c r="Q157" s="7" t="str">
        <f t="shared" si="10"/>
        <v>May</v>
      </c>
      <c r="R157" s="7" t="str">
        <f t="shared" si="11"/>
        <v>2024</v>
      </c>
    </row>
    <row r="158" spans="1:18" x14ac:dyDescent="0.3">
      <c r="A158" s="7" t="s">
        <v>682</v>
      </c>
      <c r="B158" s="7" t="s">
        <v>896</v>
      </c>
      <c r="C158" s="7" t="s">
        <v>667</v>
      </c>
      <c r="D158" s="8" t="s">
        <v>683</v>
      </c>
      <c r="E158" s="7" t="s">
        <v>827</v>
      </c>
      <c r="F158" s="7" t="s">
        <v>897</v>
      </c>
      <c r="G158" s="7">
        <v>1</v>
      </c>
      <c r="H158" s="7" t="b">
        <v>1</v>
      </c>
      <c r="I158" s="7" t="s">
        <v>26</v>
      </c>
      <c r="J158" s="7">
        <v>-0.95</v>
      </c>
      <c r="K158" s="7" t="s">
        <v>20</v>
      </c>
      <c r="L158" s="7">
        <v>39</v>
      </c>
      <c r="M158" s="7" t="s">
        <v>104</v>
      </c>
      <c r="N158" s="7" t="s">
        <v>281</v>
      </c>
      <c r="O158" s="7" t="str">
        <f t="shared" si="8"/>
        <v>34–45</v>
      </c>
      <c r="P158" s="7" t="str">
        <f t="shared" si="9"/>
        <v>&gt;0.25</v>
      </c>
      <c r="Q158" s="7" t="str">
        <f t="shared" si="10"/>
        <v>Jun</v>
      </c>
      <c r="R158" s="7" t="str">
        <f t="shared" si="11"/>
        <v>2024</v>
      </c>
    </row>
    <row r="159" spans="1:18" x14ac:dyDescent="0.3">
      <c r="A159" s="7" t="s">
        <v>684</v>
      </c>
      <c r="B159" s="7" t="s">
        <v>891</v>
      </c>
      <c r="C159" s="7" t="s">
        <v>685</v>
      </c>
      <c r="D159" s="8" t="s">
        <v>686</v>
      </c>
      <c r="E159" s="7" t="s">
        <v>828</v>
      </c>
      <c r="F159" s="7" t="s">
        <v>687</v>
      </c>
      <c r="G159" s="7">
        <v>4</v>
      </c>
      <c r="H159" s="7" t="b">
        <v>1</v>
      </c>
      <c r="I159" s="7" t="s">
        <v>19</v>
      </c>
      <c r="J159" s="7">
        <v>0.62</v>
      </c>
      <c r="K159" s="7" t="s">
        <v>27</v>
      </c>
      <c r="L159" s="7">
        <v>31</v>
      </c>
      <c r="M159" s="7" t="s">
        <v>935</v>
      </c>
      <c r="N159" s="7" t="s">
        <v>281</v>
      </c>
      <c r="O159" s="7" t="str">
        <f t="shared" si="8"/>
        <v>26–33</v>
      </c>
      <c r="P159" s="7" t="str">
        <f t="shared" si="9"/>
        <v>0.5&gt;0.75</v>
      </c>
      <c r="Q159" s="7" t="str">
        <f t="shared" si="10"/>
        <v>May</v>
      </c>
      <c r="R159" s="7" t="str">
        <f t="shared" si="11"/>
        <v>2024</v>
      </c>
    </row>
    <row r="160" spans="1:18" x14ac:dyDescent="0.3">
      <c r="A160" s="7" t="s">
        <v>688</v>
      </c>
      <c r="B160" s="7" t="s">
        <v>888</v>
      </c>
      <c r="C160" s="7" t="s">
        <v>689</v>
      </c>
      <c r="D160" s="8" t="s">
        <v>690</v>
      </c>
      <c r="E160" s="7" t="s">
        <v>829</v>
      </c>
      <c r="F160" s="7" t="s">
        <v>691</v>
      </c>
      <c r="G160" s="7">
        <v>3</v>
      </c>
      <c r="H160" s="7" t="b">
        <v>0</v>
      </c>
      <c r="I160" s="7" t="s">
        <v>35</v>
      </c>
      <c r="J160" s="7">
        <v>0</v>
      </c>
      <c r="K160" s="7" t="s">
        <v>20</v>
      </c>
      <c r="L160" s="7">
        <v>52</v>
      </c>
      <c r="M160" s="7" t="s">
        <v>42</v>
      </c>
      <c r="N160" s="7" t="s">
        <v>43</v>
      </c>
      <c r="O160" s="7" t="str">
        <f t="shared" si="8"/>
        <v>46–55</v>
      </c>
      <c r="P160" s="7" t="str">
        <f t="shared" si="9"/>
        <v>&gt;0.25</v>
      </c>
      <c r="Q160" s="7" t="str">
        <f t="shared" si="10"/>
        <v>Jun</v>
      </c>
      <c r="R160" s="7" t="str">
        <f t="shared" si="11"/>
        <v>2024</v>
      </c>
    </row>
    <row r="161" spans="1:18" x14ac:dyDescent="0.3">
      <c r="A161" s="7" t="s">
        <v>692</v>
      </c>
      <c r="B161" s="7" t="s">
        <v>591</v>
      </c>
      <c r="C161" s="7" t="s">
        <v>693</v>
      </c>
      <c r="D161" s="8" t="s">
        <v>694</v>
      </c>
      <c r="E161" s="7" t="s">
        <v>830</v>
      </c>
      <c r="F161" s="7" t="s">
        <v>695</v>
      </c>
      <c r="G161" s="7">
        <v>5</v>
      </c>
      <c r="H161" s="7" t="b">
        <v>1</v>
      </c>
      <c r="I161" s="7" t="s">
        <v>19</v>
      </c>
      <c r="J161" s="7">
        <v>0.88</v>
      </c>
      <c r="K161" s="7" t="s">
        <v>27</v>
      </c>
      <c r="L161" s="7">
        <v>44</v>
      </c>
      <c r="M161" s="7" t="s">
        <v>56</v>
      </c>
      <c r="N161" s="7" t="s">
        <v>299</v>
      </c>
      <c r="O161" s="7" t="str">
        <f t="shared" si="8"/>
        <v>34–45</v>
      </c>
      <c r="P161" s="7" t="str">
        <f t="shared" si="9"/>
        <v>0.75&gt;1</v>
      </c>
      <c r="Q161" s="7" t="str">
        <f t="shared" si="10"/>
        <v>May</v>
      </c>
      <c r="R161" s="7" t="str">
        <f t="shared" si="11"/>
        <v>2024</v>
      </c>
    </row>
    <row r="162" spans="1:18" x14ac:dyDescent="0.3">
      <c r="A162" s="7" t="s">
        <v>696</v>
      </c>
      <c r="B162" s="7" t="s">
        <v>894</v>
      </c>
      <c r="C162" s="7" t="s">
        <v>671</v>
      </c>
      <c r="D162" s="8" t="s">
        <v>672</v>
      </c>
      <c r="E162" s="7" t="s">
        <v>831</v>
      </c>
      <c r="F162" s="7" t="s">
        <v>697</v>
      </c>
      <c r="G162" s="7">
        <v>3</v>
      </c>
      <c r="H162" s="7" t="b">
        <v>1</v>
      </c>
      <c r="I162" s="7" t="s">
        <v>35</v>
      </c>
      <c r="J162" s="7">
        <v>0.12</v>
      </c>
      <c r="K162" s="7" t="s">
        <v>20</v>
      </c>
      <c r="L162" s="7">
        <v>34</v>
      </c>
      <c r="M162" s="7" t="s">
        <v>62</v>
      </c>
      <c r="N162" s="7" t="s">
        <v>281</v>
      </c>
      <c r="O162" s="7" t="str">
        <f t="shared" si="8"/>
        <v>34–45</v>
      </c>
      <c r="P162" s="7" t="str">
        <f t="shared" si="9"/>
        <v>&gt;0.25</v>
      </c>
      <c r="Q162" s="7" t="str">
        <f t="shared" si="10"/>
        <v>Jun</v>
      </c>
      <c r="R162" s="7" t="str">
        <f t="shared" si="11"/>
        <v>2024</v>
      </c>
    </row>
    <row r="163" spans="1:18" x14ac:dyDescent="0.3">
      <c r="A163" s="7" t="s">
        <v>698</v>
      </c>
      <c r="B163" s="7" t="s">
        <v>483</v>
      </c>
      <c r="C163" s="7" t="s">
        <v>699</v>
      </c>
      <c r="D163" s="8" t="s">
        <v>700</v>
      </c>
      <c r="E163" s="7" t="s">
        <v>701</v>
      </c>
      <c r="F163" s="7" t="s">
        <v>702</v>
      </c>
      <c r="G163" s="7">
        <v>1</v>
      </c>
      <c r="H163" s="7" t="b">
        <v>0</v>
      </c>
      <c r="I163" s="7" t="s">
        <v>26</v>
      </c>
      <c r="J163" s="7">
        <v>-0.84</v>
      </c>
      <c r="K163" s="7" t="s">
        <v>27</v>
      </c>
      <c r="L163" s="7">
        <v>54</v>
      </c>
      <c r="M163" s="7" t="s">
        <v>143</v>
      </c>
      <c r="N163" s="7" t="s">
        <v>309</v>
      </c>
      <c r="O163" s="7" t="str">
        <f t="shared" si="8"/>
        <v>46–55</v>
      </c>
      <c r="P163" s="7" t="str">
        <f t="shared" si="9"/>
        <v>&gt;0.25</v>
      </c>
      <c r="Q163" s="7" t="str">
        <f t="shared" si="10"/>
        <v>Apr</v>
      </c>
      <c r="R163" s="7" t="str">
        <f t="shared" si="11"/>
        <v>2024</v>
      </c>
    </row>
    <row r="164" spans="1:18" x14ac:dyDescent="0.3">
      <c r="A164" s="7" t="s">
        <v>703</v>
      </c>
      <c r="B164" s="7" t="s">
        <v>546</v>
      </c>
      <c r="C164" s="7" t="s">
        <v>675</v>
      </c>
      <c r="D164" s="8" t="s">
        <v>704</v>
      </c>
      <c r="E164" s="7" t="s">
        <v>705</v>
      </c>
      <c r="F164" s="7" t="s">
        <v>706</v>
      </c>
      <c r="G164" s="7">
        <v>5</v>
      </c>
      <c r="H164" s="7" t="b">
        <v>1</v>
      </c>
      <c r="I164" s="7" t="s">
        <v>19</v>
      </c>
      <c r="J164" s="7">
        <v>0.97</v>
      </c>
      <c r="K164" s="7" t="s">
        <v>20</v>
      </c>
      <c r="L164" s="7">
        <v>41</v>
      </c>
      <c r="M164" s="7" t="s">
        <v>75</v>
      </c>
      <c r="N164" s="7" t="s">
        <v>274</v>
      </c>
      <c r="O164" s="7" t="str">
        <f t="shared" si="8"/>
        <v>34–45</v>
      </c>
      <c r="P164" s="7" t="str">
        <f t="shared" si="9"/>
        <v>0.75&gt;1</v>
      </c>
      <c r="Q164" s="7" t="str">
        <f t="shared" si="10"/>
        <v>Jun</v>
      </c>
      <c r="R164" s="7" t="str">
        <f t="shared" si="11"/>
        <v>2024</v>
      </c>
    </row>
    <row r="165" spans="1:18" x14ac:dyDescent="0.3">
      <c r="A165" s="7" t="s">
        <v>707</v>
      </c>
      <c r="B165" s="7" t="s">
        <v>510</v>
      </c>
      <c r="C165" s="7" t="s">
        <v>708</v>
      </c>
      <c r="D165" s="8" t="s">
        <v>709</v>
      </c>
      <c r="E165" s="7" t="s">
        <v>710</v>
      </c>
      <c r="F165" s="7" t="s">
        <v>711</v>
      </c>
      <c r="G165" s="7">
        <v>4</v>
      </c>
      <c r="H165" s="7" t="b">
        <v>1</v>
      </c>
      <c r="I165" s="7" t="s">
        <v>19</v>
      </c>
      <c r="J165" s="7">
        <v>0.71</v>
      </c>
      <c r="K165" s="7" t="s">
        <v>848</v>
      </c>
      <c r="L165" s="7">
        <v>62</v>
      </c>
      <c r="M165" s="7" t="s">
        <v>50</v>
      </c>
      <c r="N165" s="7" t="s">
        <v>293</v>
      </c>
      <c r="O165" s="7" t="str">
        <f t="shared" si="8"/>
        <v>56-66</v>
      </c>
      <c r="P165" s="7" t="str">
        <f t="shared" si="9"/>
        <v>0.5&gt;0.75</v>
      </c>
      <c r="Q165" s="7" t="str">
        <f t="shared" si="10"/>
        <v>May</v>
      </c>
      <c r="R165" s="7" t="str">
        <f t="shared" si="11"/>
        <v>2024</v>
      </c>
    </row>
    <row r="166" spans="1:18" x14ac:dyDescent="0.3">
      <c r="A166" s="7" t="s">
        <v>712</v>
      </c>
      <c r="B166" s="7" t="s">
        <v>898</v>
      </c>
      <c r="C166" s="7" t="s">
        <v>679</v>
      </c>
      <c r="D166" s="8" t="s">
        <v>713</v>
      </c>
      <c r="E166" s="7" t="s">
        <v>714</v>
      </c>
      <c r="F166" s="7" t="s">
        <v>899</v>
      </c>
      <c r="G166" s="7">
        <v>2</v>
      </c>
      <c r="H166" s="7" t="b">
        <v>0</v>
      </c>
      <c r="I166" s="7" t="s">
        <v>26</v>
      </c>
      <c r="J166" s="7">
        <v>-0.49</v>
      </c>
      <c r="K166" s="7" t="s">
        <v>27</v>
      </c>
      <c r="L166" s="7">
        <v>36</v>
      </c>
      <c r="M166" s="7" t="s">
        <v>135</v>
      </c>
      <c r="N166" s="7" t="s">
        <v>43</v>
      </c>
      <c r="O166" s="7" t="str">
        <f t="shared" si="8"/>
        <v>34–45</v>
      </c>
      <c r="P166" s="7" t="str">
        <f t="shared" si="9"/>
        <v>&gt;0.25</v>
      </c>
      <c r="Q166" s="7" t="str">
        <f t="shared" si="10"/>
        <v>May</v>
      </c>
      <c r="R166" s="7" t="str">
        <f t="shared" si="11"/>
        <v>2024</v>
      </c>
    </row>
    <row r="167" spans="1:18" x14ac:dyDescent="0.3">
      <c r="A167" s="7" t="s">
        <v>715</v>
      </c>
      <c r="B167" s="7" t="s">
        <v>900</v>
      </c>
      <c r="C167" s="7" t="s">
        <v>685</v>
      </c>
      <c r="D167" s="8" t="s">
        <v>716</v>
      </c>
      <c r="E167" s="7" t="s">
        <v>717</v>
      </c>
      <c r="F167" s="7" t="s">
        <v>718</v>
      </c>
      <c r="G167" s="7">
        <v>4</v>
      </c>
      <c r="H167" s="7" t="b">
        <v>1</v>
      </c>
      <c r="I167" s="7" t="s">
        <v>19</v>
      </c>
      <c r="J167" s="7">
        <v>0.7</v>
      </c>
      <c r="K167" s="7" t="s">
        <v>20</v>
      </c>
      <c r="L167" s="7">
        <v>22</v>
      </c>
      <c r="M167" s="7" t="s">
        <v>68</v>
      </c>
      <c r="N167" s="7" t="s">
        <v>281</v>
      </c>
      <c r="O167" s="7" t="str">
        <f t="shared" si="8"/>
        <v>17–25</v>
      </c>
      <c r="P167" s="7" t="str">
        <f t="shared" si="9"/>
        <v>0.5&gt;0.75</v>
      </c>
      <c r="Q167" s="7" t="str">
        <f t="shared" si="10"/>
        <v>May</v>
      </c>
      <c r="R167" s="7" t="str">
        <f t="shared" si="11"/>
        <v>2024</v>
      </c>
    </row>
    <row r="168" spans="1:18" x14ac:dyDescent="0.3">
      <c r="A168" s="7" t="s">
        <v>719</v>
      </c>
      <c r="B168" s="7" t="s">
        <v>609</v>
      </c>
      <c r="C168" s="7" t="s">
        <v>689</v>
      </c>
      <c r="D168" s="8" t="s">
        <v>720</v>
      </c>
      <c r="E168" s="7" t="s">
        <v>462</v>
      </c>
      <c r="F168" s="7" t="s">
        <v>721</v>
      </c>
      <c r="G168" s="7">
        <v>2</v>
      </c>
      <c r="H168" s="7" t="b">
        <v>0</v>
      </c>
      <c r="I168" s="7" t="s">
        <v>26</v>
      </c>
      <c r="J168" s="7">
        <v>-0.61</v>
      </c>
      <c r="K168" s="7" t="s">
        <v>20</v>
      </c>
      <c r="L168" s="7">
        <v>48</v>
      </c>
      <c r="M168" s="7" t="s">
        <v>91</v>
      </c>
      <c r="N168" s="7" t="s">
        <v>544</v>
      </c>
      <c r="O168" s="7" t="str">
        <f t="shared" si="8"/>
        <v>46–55</v>
      </c>
      <c r="P168" s="7" t="str">
        <f t="shared" si="9"/>
        <v>&gt;0.25</v>
      </c>
      <c r="Q168" s="7" t="str">
        <f t="shared" si="10"/>
        <v>Apr</v>
      </c>
      <c r="R168" s="7" t="str">
        <f t="shared" si="11"/>
        <v>2024</v>
      </c>
    </row>
    <row r="169" spans="1:18" x14ac:dyDescent="0.3">
      <c r="A169" s="7" t="s">
        <v>722</v>
      </c>
      <c r="B169" s="7" t="s">
        <v>901</v>
      </c>
      <c r="C169" s="7" t="s">
        <v>693</v>
      </c>
      <c r="D169" s="8" t="s">
        <v>723</v>
      </c>
      <c r="E169" s="7" t="s">
        <v>124</v>
      </c>
      <c r="F169" s="7" t="s">
        <v>724</v>
      </c>
      <c r="G169" s="7">
        <v>5</v>
      </c>
      <c r="H169" s="7" t="b">
        <v>1</v>
      </c>
      <c r="I169" s="7" t="s">
        <v>19</v>
      </c>
      <c r="J169" s="7">
        <v>0.99</v>
      </c>
      <c r="K169" s="7" t="s">
        <v>20</v>
      </c>
      <c r="L169" s="7">
        <v>29</v>
      </c>
      <c r="M169" s="7" t="s">
        <v>725</v>
      </c>
      <c r="N169" s="7" t="s">
        <v>281</v>
      </c>
      <c r="O169" s="7" t="str">
        <f t="shared" si="8"/>
        <v>26–33</v>
      </c>
      <c r="P169" s="7" t="str">
        <f t="shared" si="9"/>
        <v>0.75&gt;1</v>
      </c>
      <c r="Q169" s="7" t="str">
        <f t="shared" si="10"/>
        <v>Jun</v>
      </c>
      <c r="R169" s="7" t="str">
        <f t="shared" si="11"/>
        <v>2024</v>
      </c>
    </row>
    <row r="170" spans="1:18" x14ac:dyDescent="0.3">
      <c r="A170" s="7" t="s">
        <v>726</v>
      </c>
      <c r="B170" s="7" t="s">
        <v>559</v>
      </c>
      <c r="C170" s="7" t="s">
        <v>699</v>
      </c>
      <c r="D170" s="8" t="s">
        <v>727</v>
      </c>
      <c r="E170" s="7" t="s">
        <v>728</v>
      </c>
      <c r="F170" s="7" t="s">
        <v>729</v>
      </c>
      <c r="G170" s="7">
        <v>3</v>
      </c>
      <c r="H170" s="7" t="b">
        <v>1</v>
      </c>
      <c r="I170" s="7" t="s">
        <v>35</v>
      </c>
      <c r="J170" s="7">
        <v>0.15</v>
      </c>
      <c r="K170" s="7" t="s">
        <v>27</v>
      </c>
      <c r="L170" s="7">
        <v>33</v>
      </c>
      <c r="M170" s="7" t="s">
        <v>81</v>
      </c>
      <c r="N170" s="7" t="s">
        <v>328</v>
      </c>
      <c r="O170" s="7" t="str">
        <f t="shared" si="8"/>
        <v>26–33</v>
      </c>
      <c r="P170" s="7" t="str">
        <f t="shared" si="9"/>
        <v>&gt;0.25</v>
      </c>
      <c r="Q170" s="7" t="str">
        <f t="shared" si="10"/>
        <v>Jun</v>
      </c>
      <c r="R170" s="7" t="str">
        <f t="shared" si="11"/>
        <v>2024</v>
      </c>
    </row>
    <row r="171" spans="1:18" x14ac:dyDescent="0.3">
      <c r="A171" s="7" t="s">
        <v>730</v>
      </c>
      <c r="B171" s="7" t="s">
        <v>578</v>
      </c>
      <c r="C171" s="7" t="s">
        <v>708</v>
      </c>
      <c r="D171" s="8" t="s">
        <v>731</v>
      </c>
      <c r="E171" s="7" t="s">
        <v>184</v>
      </c>
      <c r="F171" s="7" t="s">
        <v>732</v>
      </c>
      <c r="G171" s="7">
        <v>2</v>
      </c>
      <c r="H171" s="7" t="b">
        <v>0</v>
      </c>
      <c r="I171" s="7" t="s">
        <v>26</v>
      </c>
      <c r="J171" s="7">
        <v>-0.63</v>
      </c>
      <c r="K171" s="7" t="s">
        <v>20</v>
      </c>
      <c r="L171" s="7">
        <v>59</v>
      </c>
      <c r="M171" s="7" t="s">
        <v>258</v>
      </c>
      <c r="N171" s="7" t="s">
        <v>309</v>
      </c>
      <c r="O171" s="7" t="str">
        <f t="shared" si="8"/>
        <v>56-66</v>
      </c>
      <c r="P171" s="7" t="str">
        <f t="shared" si="9"/>
        <v>&gt;0.25</v>
      </c>
      <c r="Q171" s="7" t="str">
        <f t="shared" si="10"/>
        <v>May</v>
      </c>
      <c r="R171" s="7" t="str">
        <f t="shared" si="11"/>
        <v>2024</v>
      </c>
    </row>
    <row r="172" spans="1:18" x14ac:dyDescent="0.3">
      <c r="A172" s="7" t="s">
        <v>733</v>
      </c>
      <c r="B172" s="7" t="s">
        <v>497</v>
      </c>
      <c r="C172" s="7" t="s">
        <v>671</v>
      </c>
      <c r="D172" s="8" t="s">
        <v>734</v>
      </c>
      <c r="E172" s="7" t="s">
        <v>843</v>
      </c>
      <c r="F172" s="7" t="s">
        <v>735</v>
      </c>
      <c r="G172" s="7">
        <v>4</v>
      </c>
      <c r="H172" s="7" t="b">
        <v>1</v>
      </c>
      <c r="I172" s="7" t="s">
        <v>19</v>
      </c>
      <c r="J172" s="7">
        <v>0.77</v>
      </c>
      <c r="K172" s="7" t="s">
        <v>27</v>
      </c>
      <c r="L172" s="7">
        <v>38</v>
      </c>
      <c r="M172" s="7" t="s">
        <v>81</v>
      </c>
      <c r="N172" s="7" t="s">
        <v>328</v>
      </c>
      <c r="O172" s="7" t="str">
        <f t="shared" si="8"/>
        <v>34–45</v>
      </c>
      <c r="P172" s="7" t="str">
        <f t="shared" si="9"/>
        <v>0.75&gt;1</v>
      </c>
      <c r="Q172" s="7" t="str">
        <f t="shared" si="10"/>
        <v>Jun</v>
      </c>
      <c r="R172" s="7" t="str">
        <f t="shared" si="11"/>
        <v>2024</v>
      </c>
    </row>
    <row r="173" spans="1:18" x14ac:dyDescent="0.3">
      <c r="A173" s="7" t="s">
        <v>736</v>
      </c>
      <c r="B173" s="7" t="s">
        <v>554</v>
      </c>
      <c r="C173" s="7" t="s">
        <v>675</v>
      </c>
      <c r="D173" s="8" t="s">
        <v>737</v>
      </c>
      <c r="E173" s="7" t="s">
        <v>823</v>
      </c>
      <c r="F173" s="7" t="s">
        <v>738</v>
      </c>
      <c r="G173" s="7">
        <v>4</v>
      </c>
      <c r="H173" s="7" t="b">
        <v>1</v>
      </c>
      <c r="I173" s="7" t="s">
        <v>19</v>
      </c>
      <c r="J173" s="7">
        <v>0.68</v>
      </c>
      <c r="K173" s="7" t="s">
        <v>20</v>
      </c>
      <c r="L173" s="7">
        <v>27</v>
      </c>
      <c r="M173" s="7" t="s">
        <v>314</v>
      </c>
      <c r="N173" s="7" t="s">
        <v>315</v>
      </c>
      <c r="O173" s="7" t="str">
        <f t="shared" si="8"/>
        <v>26–33</v>
      </c>
      <c r="P173" s="7" t="str">
        <f t="shared" si="9"/>
        <v>0.5&gt;0.75</v>
      </c>
      <c r="Q173" s="7" t="str">
        <f t="shared" si="10"/>
        <v>May</v>
      </c>
      <c r="R173" s="7" t="str">
        <f t="shared" si="11"/>
        <v>2024</v>
      </c>
    </row>
    <row r="174" spans="1:18" x14ac:dyDescent="0.3">
      <c r="A174" s="7" t="s">
        <v>739</v>
      </c>
      <c r="B174" s="7" t="s">
        <v>506</v>
      </c>
      <c r="C174" s="7" t="s">
        <v>679</v>
      </c>
      <c r="D174" s="8" t="s">
        <v>740</v>
      </c>
      <c r="E174" s="7" t="s">
        <v>278</v>
      </c>
      <c r="F174" s="7" t="s">
        <v>741</v>
      </c>
      <c r="G174" s="7">
        <v>3</v>
      </c>
      <c r="H174" s="7" t="b">
        <v>0</v>
      </c>
      <c r="I174" s="7" t="s">
        <v>35</v>
      </c>
      <c r="J174" s="7">
        <v>7.0000000000000007E-2</v>
      </c>
      <c r="K174" s="7" t="s">
        <v>20</v>
      </c>
      <c r="L174" s="7">
        <v>48</v>
      </c>
      <c r="M174" s="7" t="s">
        <v>91</v>
      </c>
      <c r="N174" s="7" t="s">
        <v>544</v>
      </c>
      <c r="O174" s="7" t="str">
        <f t="shared" si="8"/>
        <v>46–55</v>
      </c>
      <c r="P174" s="7" t="str">
        <f t="shared" si="9"/>
        <v>&gt;0.25</v>
      </c>
      <c r="Q174" s="7" t="str">
        <f t="shared" si="10"/>
        <v>May</v>
      </c>
      <c r="R174" s="7" t="str">
        <f t="shared" si="11"/>
        <v>2024</v>
      </c>
    </row>
    <row r="175" spans="1:18" x14ac:dyDescent="0.3">
      <c r="A175" s="7" t="s">
        <v>742</v>
      </c>
      <c r="B175" s="7" t="s">
        <v>902</v>
      </c>
      <c r="C175" s="7" t="s">
        <v>685</v>
      </c>
      <c r="D175" s="8" t="s">
        <v>704</v>
      </c>
      <c r="E175" s="7" t="s">
        <v>823</v>
      </c>
      <c r="F175" s="7" t="s">
        <v>743</v>
      </c>
      <c r="G175" s="7">
        <v>1</v>
      </c>
      <c r="H175" s="7" t="b">
        <v>1</v>
      </c>
      <c r="I175" s="7" t="s">
        <v>26</v>
      </c>
      <c r="J175" s="7">
        <v>-0.91</v>
      </c>
      <c r="K175" s="7" t="s">
        <v>27</v>
      </c>
      <c r="L175" s="7">
        <v>21</v>
      </c>
      <c r="M175" s="7" t="s">
        <v>135</v>
      </c>
      <c r="N175" s="7" t="s">
        <v>43</v>
      </c>
      <c r="O175" s="7" t="str">
        <f t="shared" si="8"/>
        <v>17–25</v>
      </c>
      <c r="P175" s="7" t="str">
        <f t="shared" si="9"/>
        <v>&gt;0.25</v>
      </c>
      <c r="Q175" s="7" t="str">
        <f t="shared" si="10"/>
        <v>Jun</v>
      </c>
      <c r="R175" s="7" t="str">
        <f t="shared" si="11"/>
        <v>2024</v>
      </c>
    </row>
    <row r="176" spans="1:18" x14ac:dyDescent="0.3">
      <c r="A176" s="7" t="s">
        <v>744</v>
      </c>
      <c r="B176" s="7" t="s">
        <v>903</v>
      </c>
      <c r="C176" s="7" t="s">
        <v>689</v>
      </c>
      <c r="D176" s="8" t="s">
        <v>680</v>
      </c>
      <c r="E176" s="7" t="s">
        <v>824</v>
      </c>
      <c r="F176" s="7" t="s">
        <v>745</v>
      </c>
      <c r="G176" s="7">
        <v>4</v>
      </c>
      <c r="H176" s="7" t="b">
        <v>1</v>
      </c>
      <c r="I176" s="7" t="s">
        <v>19</v>
      </c>
      <c r="J176" s="7">
        <v>0.72</v>
      </c>
      <c r="K176" s="7" t="s">
        <v>20</v>
      </c>
      <c r="L176" s="7">
        <v>44</v>
      </c>
      <c r="M176" s="7" t="s">
        <v>42</v>
      </c>
      <c r="N176" s="7" t="s">
        <v>43</v>
      </c>
      <c r="O176" s="7" t="str">
        <f t="shared" si="8"/>
        <v>34–45</v>
      </c>
      <c r="P176" s="7" t="str">
        <f t="shared" si="9"/>
        <v>0.5&gt;0.75</v>
      </c>
      <c r="Q176" s="7" t="str">
        <f t="shared" si="10"/>
        <v>May</v>
      </c>
      <c r="R176" s="7" t="str">
        <f t="shared" si="11"/>
        <v>2024</v>
      </c>
    </row>
    <row r="177" spans="1:18" x14ac:dyDescent="0.3">
      <c r="A177" s="7" t="s">
        <v>746</v>
      </c>
      <c r="B177" s="7" t="s">
        <v>581</v>
      </c>
      <c r="C177" s="7" t="s">
        <v>693</v>
      </c>
      <c r="D177" s="8" t="s">
        <v>747</v>
      </c>
      <c r="E177" s="7" t="s">
        <v>825</v>
      </c>
      <c r="F177" s="7" t="s">
        <v>748</v>
      </c>
      <c r="G177" s="7">
        <v>2</v>
      </c>
      <c r="H177" s="7" t="b">
        <v>0</v>
      </c>
      <c r="I177" s="7" t="s">
        <v>26</v>
      </c>
      <c r="J177" s="7">
        <v>-0.7</v>
      </c>
      <c r="K177" s="7" t="s">
        <v>20</v>
      </c>
      <c r="L177" s="7">
        <v>32</v>
      </c>
      <c r="M177" s="7" t="s">
        <v>201</v>
      </c>
      <c r="N177" s="7" t="s">
        <v>315</v>
      </c>
      <c r="O177" s="7" t="str">
        <f t="shared" si="8"/>
        <v>26–33</v>
      </c>
      <c r="P177" s="7" t="str">
        <f t="shared" si="9"/>
        <v>&gt;0.25</v>
      </c>
      <c r="Q177" s="7" t="str">
        <f t="shared" si="10"/>
        <v>Apr</v>
      </c>
      <c r="R177" s="7" t="str">
        <f t="shared" si="11"/>
        <v>2024</v>
      </c>
    </row>
    <row r="178" spans="1:18" x14ac:dyDescent="0.3">
      <c r="A178" s="7" t="s">
        <v>749</v>
      </c>
      <c r="B178" s="7" t="s">
        <v>569</v>
      </c>
      <c r="C178" s="7" t="s">
        <v>699</v>
      </c>
      <c r="D178" s="8" t="s">
        <v>690</v>
      </c>
      <c r="E178" s="7" t="s">
        <v>826</v>
      </c>
      <c r="F178" s="7" t="s">
        <v>750</v>
      </c>
      <c r="G178" s="7">
        <v>5</v>
      </c>
      <c r="H178" s="7" t="b">
        <v>1</v>
      </c>
      <c r="I178" s="7" t="s">
        <v>19</v>
      </c>
      <c r="J178" s="7">
        <v>0.88</v>
      </c>
      <c r="K178" s="7" t="s">
        <v>27</v>
      </c>
      <c r="L178" s="7">
        <v>37</v>
      </c>
      <c r="M178" s="7" t="s">
        <v>56</v>
      </c>
      <c r="N178" s="7" t="s">
        <v>299</v>
      </c>
      <c r="O178" s="7" t="str">
        <f t="shared" si="8"/>
        <v>34–45</v>
      </c>
      <c r="P178" s="7" t="str">
        <f t="shared" si="9"/>
        <v>0.75&gt;1</v>
      </c>
      <c r="Q178" s="7" t="str">
        <f t="shared" si="10"/>
        <v>Jun</v>
      </c>
      <c r="R178" s="7" t="str">
        <f t="shared" si="11"/>
        <v>2024</v>
      </c>
    </row>
    <row r="179" spans="1:18" x14ac:dyDescent="0.3">
      <c r="A179" s="7" t="s">
        <v>751</v>
      </c>
      <c r="B179" s="7" t="s">
        <v>487</v>
      </c>
      <c r="C179" s="7" t="s">
        <v>708</v>
      </c>
      <c r="D179" s="8" t="s">
        <v>752</v>
      </c>
      <c r="E179" s="7" t="s">
        <v>844</v>
      </c>
      <c r="F179" s="7" t="s">
        <v>753</v>
      </c>
      <c r="G179" s="7">
        <v>3</v>
      </c>
      <c r="H179" s="7" t="b">
        <v>0</v>
      </c>
      <c r="I179" s="7" t="s">
        <v>35</v>
      </c>
      <c r="J179" s="7">
        <v>0.03</v>
      </c>
      <c r="K179" s="7" t="s">
        <v>20</v>
      </c>
      <c r="L179" s="7">
        <v>60</v>
      </c>
      <c r="M179" s="7" t="s">
        <v>258</v>
      </c>
      <c r="N179" s="7" t="s">
        <v>309</v>
      </c>
      <c r="O179" s="7" t="str">
        <f t="shared" si="8"/>
        <v>56-66</v>
      </c>
      <c r="P179" s="7" t="str">
        <f t="shared" si="9"/>
        <v>&gt;0.25</v>
      </c>
      <c r="Q179" s="7" t="str">
        <f t="shared" si="10"/>
        <v>May</v>
      </c>
      <c r="R179" s="7" t="str">
        <f t="shared" si="11"/>
        <v>2024</v>
      </c>
    </row>
    <row r="180" spans="1:18" x14ac:dyDescent="0.3">
      <c r="A180" s="7" t="s">
        <v>754</v>
      </c>
      <c r="B180" s="7" t="s">
        <v>904</v>
      </c>
      <c r="C180" s="7" t="s">
        <v>667</v>
      </c>
      <c r="D180" s="8" t="s">
        <v>668</v>
      </c>
      <c r="E180" s="7" t="s">
        <v>823</v>
      </c>
      <c r="F180" s="7" t="s">
        <v>755</v>
      </c>
      <c r="G180" s="7">
        <v>5</v>
      </c>
      <c r="H180" s="7" t="b">
        <v>1</v>
      </c>
      <c r="I180" s="7" t="s">
        <v>19</v>
      </c>
      <c r="J180" s="7">
        <v>0.94</v>
      </c>
      <c r="K180" s="7" t="s">
        <v>27</v>
      </c>
      <c r="L180" s="7">
        <v>35</v>
      </c>
      <c r="M180" s="7" t="s">
        <v>104</v>
      </c>
      <c r="N180" s="7" t="s">
        <v>281</v>
      </c>
      <c r="O180" s="7" t="str">
        <f t="shared" si="8"/>
        <v>34–45</v>
      </c>
      <c r="P180" s="7" t="str">
        <f t="shared" si="9"/>
        <v>0.75&gt;1</v>
      </c>
      <c r="Q180" s="7" t="str">
        <f t="shared" si="10"/>
        <v>Jun</v>
      </c>
      <c r="R180" s="7" t="str">
        <f t="shared" si="11"/>
        <v>2024</v>
      </c>
    </row>
    <row r="181" spans="1:18" x14ac:dyDescent="0.3">
      <c r="A181" s="7" t="s">
        <v>756</v>
      </c>
      <c r="B181" s="7" t="s">
        <v>905</v>
      </c>
      <c r="C181" s="7" t="s">
        <v>671</v>
      </c>
      <c r="D181" s="8" t="s">
        <v>683</v>
      </c>
      <c r="E181" s="7" t="s">
        <v>824</v>
      </c>
      <c r="F181" s="7" t="s">
        <v>757</v>
      </c>
      <c r="G181" s="7">
        <v>4</v>
      </c>
      <c r="H181" s="7" t="b">
        <v>1</v>
      </c>
      <c r="I181" s="7" t="s">
        <v>19</v>
      </c>
      <c r="J181" s="7">
        <v>0.66</v>
      </c>
      <c r="K181" s="7" t="s">
        <v>20</v>
      </c>
      <c r="L181" s="7">
        <v>43</v>
      </c>
      <c r="M181" s="7" t="s">
        <v>159</v>
      </c>
      <c r="N181" s="7" t="s">
        <v>281</v>
      </c>
      <c r="O181" s="7" t="str">
        <f t="shared" si="8"/>
        <v>34–45</v>
      </c>
      <c r="P181" s="7" t="str">
        <f t="shared" si="9"/>
        <v>0.5&gt;0.75</v>
      </c>
      <c r="Q181" s="7" t="str">
        <f t="shared" si="10"/>
        <v>Jun</v>
      </c>
      <c r="R181" s="7" t="str">
        <f t="shared" si="11"/>
        <v>2024</v>
      </c>
    </row>
    <row r="182" spans="1:18" x14ac:dyDescent="0.3">
      <c r="A182" s="7" t="s">
        <v>758</v>
      </c>
      <c r="B182" s="7" t="s">
        <v>539</v>
      </c>
      <c r="C182" s="7" t="s">
        <v>675</v>
      </c>
      <c r="D182" s="8" t="s">
        <v>759</v>
      </c>
      <c r="E182" s="7" t="s">
        <v>825</v>
      </c>
      <c r="F182" s="7" t="s">
        <v>760</v>
      </c>
      <c r="G182" s="7">
        <v>2</v>
      </c>
      <c r="H182" s="7" t="b">
        <v>0</v>
      </c>
      <c r="I182" s="7" t="s">
        <v>26</v>
      </c>
      <c r="J182" s="7">
        <v>-0.68</v>
      </c>
      <c r="K182" s="7" t="s">
        <v>20</v>
      </c>
      <c r="L182" s="7">
        <v>50</v>
      </c>
      <c r="M182" s="7" t="s">
        <v>50</v>
      </c>
      <c r="N182" s="7" t="s">
        <v>293</v>
      </c>
      <c r="O182" s="7" t="str">
        <f t="shared" si="8"/>
        <v>46–55</v>
      </c>
      <c r="P182" s="7" t="str">
        <f t="shared" si="9"/>
        <v>&gt;0.25</v>
      </c>
      <c r="Q182" s="7" t="str">
        <f t="shared" si="10"/>
        <v>May</v>
      </c>
      <c r="R182" s="7" t="str">
        <f t="shared" si="11"/>
        <v>2024</v>
      </c>
    </row>
    <row r="183" spans="1:18" x14ac:dyDescent="0.3">
      <c r="A183" s="7" t="s">
        <v>761</v>
      </c>
      <c r="B183" s="7" t="s">
        <v>595</v>
      </c>
      <c r="C183" s="7" t="s">
        <v>679</v>
      </c>
      <c r="D183" s="8" t="s">
        <v>762</v>
      </c>
      <c r="E183" s="7" t="s">
        <v>845</v>
      </c>
      <c r="F183" s="7" t="s">
        <v>763</v>
      </c>
      <c r="G183" s="7">
        <v>3</v>
      </c>
      <c r="H183" s="7" t="b">
        <v>1</v>
      </c>
      <c r="I183" s="7" t="s">
        <v>35</v>
      </c>
      <c r="J183" s="7">
        <v>0.08</v>
      </c>
      <c r="K183" s="7" t="s">
        <v>27</v>
      </c>
      <c r="L183" s="7">
        <v>28</v>
      </c>
      <c r="M183" s="7" t="s">
        <v>75</v>
      </c>
      <c r="N183" s="7" t="s">
        <v>274</v>
      </c>
      <c r="O183" s="7" t="str">
        <f t="shared" si="8"/>
        <v>26–33</v>
      </c>
      <c r="P183" s="7" t="str">
        <f t="shared" si="9"/>
        <v>&gt;0.25</v>
      </c>
      <c r="Q183" s="7" t="str">
        <f t="shared" si="10"/>
        <v>May</v>
      </c>
      <c r="R183" s="7" t="str">
        <f t="shared" si="11"/>
        <v>2024</v>
      </c>
    </row>
    <row r="184" spans="1:18" x14ac:dyDescent="0.3">
      <c r="A184" s="7" t="s">
        <v>764</v>
      </c>
      <c r="B184" s="7" t="s">
        <v>575</v>
      </c>
      <c r="C184" s="7" t="s">
        <v>685</v>
      </c>
      <c r="D184" s="8" t="s">
        <v>690</v>
      </c>
      <c r="E184" s="7" t="s">
        <v>823</v>
      </c>
      <c r="F184" s="7" t="s">
        <v>765</v>
      </c>
      <c r="G184" s="7">
        <v>5</v>
      </c>
      <c r="H184" s="7" t="b">
        <v>1</v>
      </c>
      <c r="I184" s="7" t="s">
        <v>19</v>
      </c>
      <c r="J184" s="7">
        <v>0.91</v>
      </c>
      <c r="K184" s="7" t="s">
        <v>20</v>
      </c>
      <c r="L184" s="7">
        <v>36</v>
      </c>
      <c r="M184" s="7" t="s">
        <v>91</v>
      </c>
      <c r="N184" s="7" t="s">
        <v>544</v>
      </c>
      <c r="O184" s="7" t="str">
        <f t="shared" si="8"/>
        <v>34–45</v>
      </c>
      <c r="P184" s="7" t="str">
        <f t="shared" si="9"/>
        <v>0.75&gt;1</v>
      </c>
      <c r="Q184" s="7" t="str">
        <f t="shared" si="10"/>
        <v>Jun</v>
      </c>
      <c r="R184" s="7" t="str">
        <f t="shared" si="11"/>
        <v>2024</v>
      </c>
    </row>
    <row r="185" spans="1:18" x14ac:dyDescent="0.3">
      <c r="A185" s="7" t="s">
        <v>766</v>
      </c>
      <c r="B185" s="7" t="s">
        <v>603</v>
      </c>
      <c r="C185" s="7" t="s">
        <v>689</v>
      </c>
      <c r="D185" s="8" t="s">
        <v>767</v>
      </c>
      <c r="E185" s="7" t="s">
        <v>824</v>
      </c>
      <c r="F185" s="7" t="s">
        <v>768</v>
      </c>
      <c r="G185" s="7">
        <v>3</v>
      </c>
      <c r="H185" s="7" t="b">
        <v>0</v>
      </c>
      <c r="I185" s="7" t="s">
        <v>35</v>
      </c>
      <c r="J185" s="7">
        <v>0.09</v>
      </c>
      <c r="K185" s="7" t="s">
        <v>27</v>
      </c>
      <c r="L185" s="7">
        <v>19</v>
      </c>
      <c r="M185" s="7" t="s">
        <v>314</v>
      </c>
      <c r="N185" s="7" t="s">
        <v>315</v>
      </c>
      <c r="O185" s="7" t="str">
        <f t="shared" si="8"/>
        <v>17–25</v>
      </c>
      <c r="P185" s="7" t="str">
        <f t="shared" si="9"/>
        <v>&gt;0.25</v>
      </c>
      <c r="Q185" s="7" t="str">
        <f t="shared" si="10"/>
        <v>May</v>
      </c>
      <c r="R185" s="7" t="str">
        <f t="shared" si="11"/>
        <v>2024</v>
      </c>
    </row>
    <row r="186" spans="1:18" x14ac:dyDescent="0.3">
      <c r="A186" s="7" t="s">
        <v>769</v>
      </c>
      <c r="B186" s="7" t="s">
        <v>502</v>
      </c>
      <c r="C186" s="7" t="s">
        <v>693</v>
      </c>
      <c r="D186" s="8" t="s">
        <v>727</v>
      </c>
      <c r="E186" s="7" t="s">
        <v>825</v>
      </c>
      <c r="F186" s="7" t="s">
        <v>770</v>
      </c>
      <c r="G186" s="7">
        <v>5</v>
      </c>
      <c r="H186" s="7" t="b">
        <v>1</v>
      </c>
      <c r="I186" s="7" t="s">
        <v>19</v>
      </c>
      <c r="J186" s="7">
        <v>0.85</v>
      </c>
      <c r="K186" s="7" t="s">
        <v>20</v>
      </c>
      <c r="L186" s="7">
        <v>53</v>
      </c>
      <c r="M186" s="7" t="s">
        <v>56</v>
      </c>
      <c r="N186" s="7" t="s">
        <v>299</v>
      </c>
      <c r="O186" s="7" t="str">
        <f t="shared" si="8"/>
        <v>46–55</v>
      </c>
      <c r="P186" s="7" t="str">
        <f t="shared" si="9"/>
        <v>0.75&gt;1</v>
      </c>
      <c r="Q186" s="7" t="str">
        <f t="shared" si="10"/>
        <v>Jun</v>
      </c>
      <c r="R186" s="7" t="str">
        <f t="shared" si="11"/>
        <v>2024</v>
      </c>
    </row>
    <row r="187" spans="1:18" x14ac:dyDescent="0.3">
      <c r="A187" s="7" t="s">
        <v>771</v>
      </c>
      <c r="B187" s="7" t="s">
        <v>588</v>
      </c>
      <c r="C187" s="7" t="s">
        <v>699</v>
      </c>
      <c r="D187" s="8" t="s">
        <v>772</v>
      </c>
      <c r="E187" s="7" t="s">
        <v>826</v>
      </c>
      <c r="F187" s="7" t="s">
        <v>773</v>
      </c>
      <c r="G187" s="7">
        <v>1</v>
      </c>
      <c r="H187" s="7" t="b">
        <v>0</v>
      </c>
      <c r="I187" s="7" t="s">
        <v>26</v>
      </c>
      <c r="J187" s="7">
        <v>-0.89</v>
      </c>
      <c r="K187" s="7" t="s">
        <v>27</v>
      </c>
      <c r="L187" s="7">
        <v>63</v>
      </c>
      <c r="M187" s="7" t="s">
        <v>126</v>
      </c>
      <c r="N187" s="7" t="s">
        <v>309</v>
      </c>
      <c r="O187" s="7" t="str">
        <f t="shared" si="8"/>
        <v>56-66</v>
      </c>
      <c r="P187" s="7" t="str">
        <f t="shared" si="9"/>
        <v>&gt;0.25</v>
      </c>
      <c r="Q187" s="7" t="str">
        <f t="shared" si="10"/>
        <v>May</v>
      </c>
      <c r="R187" s="7" t="str">
        <f t="shared" si="11"/>
        <v>2024</v>
      </c>
    </row>
    <row r="188" spans="1:18" x14ac:dyDescent="0.3">
      <c r="A188" s="7" t="s">
        <v>774</v>
      </c>
      <c r="B188" s="7" t="s">
        <v>516</v>
      </c>
      <c r="C188" s="7" t="s">
        <v>708</v>
      </c>
      <c r="D188" s="8" t="s">
        <v>775</v>
      </c>
      <c r="E188" s="7" t="s">
        <v>827</v>
      </c>
      <c r="F188" s="7" t="s">
        <v>776</v>
      </c>
      <c r="G188" s="7">
        <v>4</v>
      </c>
      <c r="H188" s="7" t="b">
        <v>1</v>
      </c>
      <c r="I188" s="7" t="s">
        <v>19</v>
      </c>
      <c r="J188" s="7">
        <v>0.76</v>
      </c>
      <c r="K188" s="7" t="s">
        <v>20</v>
      </c>
      <c r="L188" s="7">
        <v>26</v>
      </c>
      <c r="M188" s="7" t="s">
        <v>143</v>
      </c>
      <c r="N188" s="7" t="s">
        <v>309</v>
      </c>
      <c r="O188" s="7" t="str">
        <f t="shared" si="8"/>
        <v>26–33</v>
      </c>
      <c r="P188" s="7" t="str">
        <f t="shared" si="9"/>
        <v>0.75&gt;1</v>
      </c>
      <c r="Q188" s="7" t="str">
        <f t="shared" si="10"/>
        <v>May</v>
      </c>
      <c r="R188" s="7" t="str">
        <f t="shared" si="11"/>
        <v>2024</v>
      </c>
    </row>
    <row r="189" spans="1:18" x14ac:dyDescent="0.3">
      <c r="A189" s="7" t="s">
        <v>777</v>
      </c>
      <c r="B189" s="7" t="s">
        <v>906</v>
      </c>
      <c r="C189" s="7" t="s">
        <v>667</v>
      </c>
      <c r="D189" s="8" t="s">
        <v>704</v>
      </c>
      <c r="E189" s="7" t="s">
        <v>846</v>
      </c>
      <c r="F189" s="7" t="s">
        <v>778</v>
      </c>
      <c r="G189" s="7">
        <v>4</v>
      </c>
      <c r="H189" s="7" t="b">
        <v>1</v>
      </c>
      <c r="I189" s="7" t="s">
        <v>19</v>
      </c>
      <c r="J189" s="7">
        <v>0.64</v>
      </c>
      <c r="K189" s="7" t="s">
        <v>27</v>
      </c>
      <c r="L189" s="7">
        <v>40</v>
      </c>
      <c r="M189" s="7" t="s">
        <v>935</v>
      </c>
      <c r="N189" s="7" t="s">
        <v>281</v>
      </c>
      <c r="O189" s="7" t="str">
        <f t="shared" si="8"/>
        <v>34–45</v>
      </c>
      <c r="P189" s="7" t="str">
        <f t="shared" si="9"/>
        <v>0.5&gt;0.75</v>
      </c>
      <c r="Q189" s="7" t="str">
        <f t="shared" si="10"/>
        <v>Jun</v>
      </c>
      <c r="R189" s="7" t="str">
        <f t="shared" si="11"/>
        <v>2024</v>
      </c>
    </row>
    <row r="190" spans="1:18" x14ac:dyDescent="0.3">
      <c r="A190" s="7" t="s">
        <v>779</v>
      </c>
      <c r="B190" s="7" t="s">
        <v>907</v>
      </c>
      <c r="C190" s="7" t="s">
        <v>671</v>
      </c>
      <c r="D190" s="8" t="s">
        <v>780</v>
      </c>
      <c r="E190" s="7" t="s">
        <v>823</v>
      </c>
      <c r="F190" s="7" t="s">
        <v>781</v>
      </c>
      <c r="G190" s="7">
        <v>2</v>
      </c>
      <c r="H190" s="7" t="b">
        <v>0</v>
      </c>
      <c r="I190" s="7" t="s">
        <v>26</v>
      </c>
      <c r="J190" s="7">
        <v>-0.67</v>
      </c>
      <c r="K190" s="7" t="s">
        <v>20</v>
      </c>
      <c r="L190" s="7">
        <v>47</v>
      </c>
      <c r="M190" s="7" t="s">
        <v>42</v>
      </c>
      <c r="N190" s="7" t="s">
        <v>43</v>
      </c>
      <c r="O190" s="7" t="str">
        <f t="shared" si="8"/>
        <v>46–55</v>
      </c>
      <c r="P190" s="7" t="str">
        <f t="shared" si="9"/>
        <v>&gt;0.25</v>
      </c>
      <c r="Q190" s="7" t="str">
        <f t="shared" si="10"/>
        <v>May</v>
      </c>
      <c r="R190" s="7" t="str">
        <f t="shared" si="11"/>
        <v>2024</v>
      </c>
    </row>
    <row r="191" spans="1:18" x14ac:dyDescent="0.3">
      <c r="A191" s="7" t="s">
        <v>782</v>
      </c>
      <c r="B191" s="7" t="s">
        <v>908</v>
      </c>
      <c r="C191" s="7" t="s">
        <v>675</v>
      </c>
      <c r="D191" s="8" t="s">
        <v>683</v>
      </c>
      <c r="E191" s="7" t="s">
        <v>824</v>
      </c>
      <c r="F191" s="7" t="s">
        <v>783</v>
      </c>
      <c r="G191" s="7">
        <v>5</v>
      </c>
      <c r="H191" s="7" t="b">
        <v>1</v>
      </c>
      <c r="I191" s="7" t="s">
        <v>19</v>
      </c>
      <c r="J191" s="7">
        <v>0.82</v>
      </c>
      <c r="K191" s="7" t="s">
        <v>27</v>
      </c>
      <c r="L191" s="7">
        <v>24</v>
      </c>
      <c r="M191" s="7" t="s">
        <v>725</v>
      </c>
      <c r="N191" s="7" t="s">
        <v>281</v>
      </c>
      <c r="O191" s="7" t="str">
        <f t="shared" si="8"/>
        <v>17–25</v>
      </c>
      <c r="P191" s="7" t="str">
        <f t="shared" si="9"/>
        <v>0.75&gt;1</v>
      </c>
      <c r="Q191" s="7" t="str">
        <f t="shared" si="10"/>
        <v>Jun</v>
      </c>
      <c r="R191" s="7" t="str">
        <f t="shared" si="11"/>
        <v>2024</v>
      </c>
    </row>
    <row r="192" spans="1:18" x14ac:dyDescent="0.3">
      <c r="A192" s="7" t="s">
        <v>784</v>
      </c>
      <c r="B192" s="7" t="s">
        <v>521</v>
      </c>
      <c r="C192" s="7" t="s">
        <v>679</v>
      </c>
      <c r="D192" s="8" t="s">
        <v>785</v>
      </c>
      <c r="E192" s="7" t="s">
        <v>825</v>
      </c>
      <c r="F192" s="7" t="s">
        <v>786</v>
      </c>
      <c r="G192" s="7">
        <v>3</v>
      </c>
      <c r="H192" s="7" t="b">
        <v>0</v>
      </c>
      <c r="I192" s="7" t="s">
        <v>35</v>
      </c>
      <c r="J192" s="7">
        <v>0</v>
      </c>
      <c r="K192" s="7" t="s">
        <v>848</v>
      </c>
      <c r="L192" s="7">
        <v>33</v>
      </c>
      <c r="M192" s="7" t="s">
        <v>848</v>
      </c>
      <c r="N192" s="7" t="s">
        <v>848</v>
      </c>
      <c r="O192" s="7" t="str">
        <f t="shared" si="8"/>
        <v>26–33</v>
      </c>
      <c r="P192" s="7" t="str">
        <f t="shared" si="9"/>
        <v>&gt;0.25</v>
      </c>
      <c r="Q192" s="7" t="str">
        <f t="shared" si="10"/>
        <v>May</v>
      </c>
      <c r="R192" s="7" t="str">
        <f t="shared" si="11"/>
        <v>2024</v>
      </c>
    </row>
    <row r="193" spans="1:18" x14ac:dyDescent="0.3">
      <c r="A193" s="7" t="s">
        <v>787</v>
      </c>
      <c r="B193" s="7" t="s">
        <v>788</v>
      </c>
      <c r="C193" s="7" t="s">
        <v>685</v>
      </c>
      <c r="D193" s="8" t="s">
        <v>789</v>
      </c>
      <c r="E193" s="7" t="s">
        <v>826</v>
      </c>
      <c r="F193" s="7" t="s">
        <v>790</v>
      </c>
      <c r="G193" s="7">
        <v>1</v>
      </c>
      <c r="H193" s="7" t="b">
        <v>0</v>
      </c>
      <c r="I193" s="7" t="s">
        <v>26</v>
      </c>
      <c r="J193" s="7">
        <v>-0.97</v>
      </c>
      <c r="K193" s="7" t="s">
        <v>848</v>
      </c>
      <c r="L193" s="7">
        <v>17</v>
      </c>
      <c r="M193" s="7" t="s">
        <v>201</v>
      </c>
      <c r="N193" s="7" t="s">
        <v>315</v>
      </c>
      <c r="O193" s="7" t="str">
        <f t="shared" si="8"/>
        <v>17–25</v>
      </c>
      <c r="P193" s="7" t="str">
        <f t="shared" si="9"/>
        <v>&gt;0.25</v>
      </c>
      <c r="Q193" s="7" t="str">
        <f t="shared" si="10"/>
        <v>May</v>
      </c>
      <c r="R193" s="7" t="str">
        <f t="shared" si="11"/>
        <v>2024</v>
      </c>
    </row>
    <row r="194" spans="1:18" x14ac:dyDescent="0.3">
      <c r="A194" s="7" t="s">
        <v>791</v>
      </c>
      <c r="B194" s="7" t="s">
        <v>909</v>
      </c>
      <c r="C194" s="7" t="s">
        <v>689</v>
      </c>
      <c r="D194" s="8" t="s">
        <v>668</v>
      </c>
      <c r="E194" s="7" t="s">
        <v>827</v>
      </c>
      <c r="F194" s="7" t="s">
        <v>792</v>
      </c>
      <c r="G194" s="7">
        <v>5</v>
      </c>
      <c r="H194" s="7" t="b">
        <v>1</v>
      </c>
      <c r="I194" s="7" t="s">
        <v>19</v>
      </c>
      <c r="J194" s="7">
        <v>0.96</v>
      </c>
      <c r="K194" s="7" t="s">
        <v>20</v>
      </c>
      <c r="L194" s="7">
        <v>41</v>
      </c>
      <c r="M194" s="7" t="s">
        <v>68</v>
      </c>
      <c r="N194" s="7" t="s">
        <v>281</v>
      </c>
      <c r="O194" s="7" t="str">
        <f t="shared" si="8"/>
        <v>34–45</v>
      </c>
      <c r="P194" s="7" t="str">
        <f t="shared" si="9"/>
        <v>0.75&gt;1</v>
      </c>
      <c r="Q194" s="7" t="str">
        <f t="shared" si="10"/>
        <v>Jun</v>
      </c>
      <c r="R194" s="7" t="str">
        <f t="shared" si="11"/>
        <v>2024</v>
      </c>
    </row>
    <row r="195" spans="1:18" x14ac:dyDescent="0.3">
      <c r="A195" s="7" t="s">
        <v>793</v>
      </c>
      <c r="B195" s="7" t="s">
        <v>794</v>
      </c>
      <c r="C195" s="7" t="s">
        <v>693</v>
      </c>
      <c r="D195" s="8" t="s">
        <v>795</v>
      </c>
      <c r="E195" s="7" t="s">
        <v>847</v>
      </c>
      <c r="F195" s="7" t="s">
        <v>796</v>
      </c>
      <c r="G195" s="7">
        <v>4</v>
      </c>
      <c r="H195" s="7" t="b">
        <v>1</v>
      </c>
      <c r="I195" s="7" t="s">
        <v>19</v>
      </c>
      <c r="J195" s="7">
        <v>0.67</v>
      </c>
      <c r="K195" s="7" t="s">
        <v>27</v>
      </c>
      <c r="L195" s="7">
        <v>39</v>
      </c>
      <c r="M195" s="7" t="s">
        <v>314</v>
      </c>
      <c r="N195" s="7" t="s">
        <v>315</v>
      </c>
      <c r="O195" s="7" t="str">
        <f t="shared" ref="O195:O201" si="12">IF(L195&lt;=25,"17–25",IF(L195&lt;=33,"26–33",IF(L195&lt;=45,"34–45",IF(L195&lt;=55,"46–55","56-66"))))</f>
        <v>34–45</v>
      </c>
      <c r="P195" s="7" t="str">
        <f t="shared" ref="P195:P201" si="13">IF(J195&lt;0.25,"&gt;0.25",IF(J195&lt;0.5,"0.25&gt;0.5",IF(J195&lt;0.75,"0.5&gt;0.75","0.75&gt;1")))</f>
        <v>0.5&gt;0.75</v>
      </c>
      <c r="Q195" s="7" t="str">
        <f t="shared" ref="Q195:Q201" si="14">TEXT(D195,"MMM")</f>
        <v>May</v>
      </c>
      <c r="R195" s="7" t="str">
        <f t="shared" ref="R195:R201" si="15">TEXT(D195,"YYY")</f>
        <v>2024</v>
      </c>
    </row>
    <row r="196" spans="1:18" x14ac:dyDescent="0.3">
      <c r="A196" s="7" t="s">
        <v>797</v>
      </c>
      <c r="B196" s="7" t="s">
        <v>798</v>
      </c>
      <c r="C196" s="7" t="s">
        <v>699</v>
      </c>
      <c r="D196" s="8" t="s">
        <v>723</v>
      </c>
      <c r="E196" s="7" t="s">
        <v>829</v>
      </c>
      <c r="F196" s="7" t="s">
        <v>799</v>
      </c>
      <c r="G196" s="7">
        <v>1</v>
      </c>
      <c r="H196" s="7" t="b">
        <v>0</v>
      </c>
      <c r="I196" s="7" t="s">
        <v>26</v>
      </c>
      <c r="J196" s="7">
        <v>-0.92</v>
      </c>
      <c r="K196" s="7" t="s">
        <v>20</v>
      </c>
      <c r="L196" s="7">
        <v>51</v>
      </c>
      <c r="M196" s="7" t="s">
        <v>143</v>
      </c>
      <c r="N196" s="7" t="s">
        <v>309</v>
      </c>
      <c r="O196" s="7" t="str">
        <f t="shared" si="12"/>
        <v>46–55</v>
      </c>
      <c r="P196" s="7" t="str">
        <f t="shared" si="13"/>
        <v>&gt;0.25</v>
      </c>
      <c r="Q196" s="7" t="str">
        <f t="shared" si="14"/>
        <v>Jun</v>
      </c>
      <c r="R196" s="7" t="str">
        <f t="shared" si="15"/>
        <v>2024</v>
      </c>
    </row>
    <row r="197" spans="1:18" x14ac:dyDescent="0.3">
      <c r="A197" s="7" t="s">
        <v>800</v>
      </c>
      <c r="B197" s="7" t="s">
        <v>801</v>
      </c>
      <c r="C197" s="7" t="s">
        <v>708</v>
      </c>
      <c r="D197" s="8" t="s">
        <v>772</v>
      </c>
      <c r="E197" s="7" t="s">
        <v>830</v>
      </c>
      <c r="F197" s="7" t="s">
        <v>802</v>
      </c>
      <c r="G197" s="7">
        <v>3</v>
      </c>
      <c r="H197" s="7" t="b">
        <v>1</v>
      </c>
      <c r="I197" s="7" t="s">
        <v>35</v>
      </c>
      <c r="J197" s="7">
        <v>0.05</v>
      </c>
      <c r="K197" s="7" t="s">
        <v>20</v>
      </c>
      <c r="L197" s="7">
        <v>25</v>
      </c>
      <c r="M197" s="7" t="s">
        <v>258</v>
      </c>
      <c r="N197" s="7" t="s">
        <v>309</v>
      </c>
      <c r="O197" s="7" t="str">
        <f t="shared" si="12"/>
        <v>17–25</v>
      </c>
      <c r="P197" s="7" t="str">
        <f t="shared" si="13"/>
        <v>&gt;0.25</v>
      </c>
      <c r="Q197" s="7" t="str">
        <f t="shared" si="14"/>
        <v>May</v>
      </c>
      <c r="R197" s="7" t="str">
        <f t="shared" si="15"/>
        <v>2024</v>
      </c>
    </row>
    <row r="198" spans="1:18" x14ac:dyDescent="0.3">
      <c r="A198" s="7" t="s">
        <v>14</v>
      </c>
      <c r="B198" s="7" t="s">
        <v>890</v>
      </c>
      <c r="C198" s="7" t="s">
        <v>675</v>
      </c>
      <c r="D198" s="8" t="s">
        <v>803</v>
      </c>
      <c r="E198" s="7" t="s">
        <v>831</v>
      </c>
      <c r="F198" s="7" t="s">
        <v>804</v>
      </c>
      <c r="G198" s="7">
        <v>5</v>
      </c>
      <c r="H198" s="7" t="b">
        <v>1</v>
      </c>
      <c r="I198" s="7" t="s">
        <v>19</v>
      </c>
      <c r="J198" s="7">
        <v>0.89</v>
      </c>
      <c r="K198" s="7" t="s">
        <v>20</v>
      </c>
      <c r="L198" s="7">
        <v>29</v>
      </c>
      <c r="M198" s="7" t="s">
        <v>805</v>
      </c>
      <c r="N198" s="7" t="s">
        <v>281</v>
      </c>
      <c r="O198" s="7" t="str">
        <f t="shared" si="12"/>
        <v>26–33</v>
      </c>
      <c r="P198" s="7" t="str">
        <f t="shared" si="13"/>
        <v>0.75&gt;1</v>
      </c>
      <c r="Q198" s="7" t="str">
        <f t="shared" si="14"/>
        <v>Oct</v>
      </c>
      <c r="R198" s="7" t="str">
        <f t="shared" si="15"/>
        <v>2023</v>
      </c>
    </row>
    <row r="199" spans="1:18" x14ac:dyDescent="0.3">
      <c r="A199" s="7" t="s">
        <v>21</v>
      </c>
      <c r="B199" s="7" t="s">
        <v>806</v>
      </c>
      <c r="C199" s="7" t="s">
        <v>708</v>
      </c>
      <c r="D199" s="8" t="s">
        <v>807</v>
      </c>
      <c r="E199" s="7" t="s">
        <v>808</v>
      </c>
      <c r="F199" s="7" t="s">
        <v>809</v>
      </c>
      <c r="G199" s="7">
        <v>2</v>
      </c>
      <c r="H199" s="7" t="b">
        <v>1</v>
      </c>
      <c r="I199" s="7" t="s">
        <v>26</v>
      </c>
      <c r="J199" s="7">
        <v>-0.75</v>
      </c>
      <c r="K199" s="7" t="s">
        <v>27</v>
      </c>
      <c r="L199" s="7">
        <v>42</v>
      </c>
      <c r="M199" s="7" t="s">
        <v>810</v>
      </c>
      <c r="N199" s="7" t="s">
        <v>309</v>
      </c>
      <c r="O199" s="7" t="str">
        <f t="shared" si="12"/>
        <v>34–45</v>
      </c>
      <c r="P199" s="7" t="str">
        <f t="shared" si="13"/>
        <v>&gt;0.25</v>
      </c>
      <c r="Q199" s="7" t="str">
        <f t="shared" si="14"/>
        <v>Feb</v>
      </c>
      <c r="R199" s="7" t="str">
        <f t="shared" si="15"/>
        <v>2024</v>
      </c>
    </row>
    <row r="200" spans="1:18" x14ac:dyDescent="0.3">
      <c r="A200" s="7" t="s">
        <v>29</v>
      </c>
      <c r="B200" s="7" t="s">
        <v>910</v>
      </c>
      <c r="C200" s="7" t="s">
        <v>811</v>
      </c>
      <c r="D200" s="8" t="s">
        <v>812</v>
      </c>
      <c r="E200" s="7" t="s">
        <v>872</v>
      </c>
      <c r="F200" s="7" t="s">
        <v>813</v>
      </c>
      <c r="G200" s="7">
        <v>3</v>
      </c>
      <c r="H200" s="7" t="b">
        <v>0</v>
      </c>
      <c r="I200" s="7" t="s">
        <v>35</v>
      </c>
      <c r="J200" s="7">
        <v>0.04</v>
      </c>
      <c r="K200" s="7" t="s">
        <v>848</v>
      </c>
      <c r="L200" s="7">
        <v>33</v>
      </c>
      <c r="M200" s="7" t="s">
        <v>159</v>
      </c>
      <c r="N200" s="7" t="s">
        <v>281</v>
      </c>
      <c r="O200" s="7" t="str">
        <f t="shared" si="12"/>
        <v>26–33</v>
      </c>
      <c r="P200" s="7" t="str">
        <f t="shared" si="13"/>
        <v>&gt;0.25</v>
      </c>
      <c r="Q200" s="7" t="str">
        <f t="shared" si="14"/>
        <v>Jan</v>
      </c>
      <c r="R200" s="7" t="str">
        <f t="shared" si="15"/>
        <v>2024</v>
      </c>
    </row>
    <row r="201" spans="1:18" x14ac:dyDescent="0.3">
      <c r="A201" s="7" t="s">
        <v>37</v>
      </c>
      <c r="B201" s="7" t="s">
        <v>911</v>
      </c>
      <c r="C201" s="7" t="s">
        <v>689</v>
      </c>
      <c r="D201" s="8" t="s">
        <v>814</v>
      </c>
      <c r="E201" s="7" t="s">
        <v>833</v>
      </c>
      <c r="F201" s="7" t="s">
        <v>815</v>
      </c>
      <c r="G201" s="7">
        <v>4</v>
      </c>
      <c r="H201" s="7" t="b">
        <v>1</v>
      </c>
      <c r="I201" s="7" t="s">
        <v>19</v>
      </c>
      <c r="J201" s="7">
        <v>0.62</v>
      </c>
      <c r="K201" s="7" t="s">
        <v>848</v>
      </c>
      <c r="L201" s="7">
        <v>34</v>
      </c>
      <c r="M201" s="7" t="s">
        <v>816</v>
      </c>
      <c r="N201" s="7" t="s">
        <v>43</v>
      </c>
      <c r="O201" s="7" t="str">
        <f t="shared" si="12"/>
        <v>34–45</v>
      </c>
      <c r="P201" s="7" t="str">
        <f t="shared" si="13"/>
        <v>0.5&gt;0.75</v>
      </c>
      <c r="Q201" s="7" t="str">
        <f t="shared" si="14"/>
        <v>Dec</v>
      </c>
      <c r="R201" s="7" t="str">
        <f t="shared" si="15"/>
        <v>2023</v>
      </c>
    </row>
  </sheetData>
  <autoFilter ref="A1:P1" xr:uid="{00000000-0001-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20610-2C3E-4235-B548-3C0FAAD1FD4B}">
  <sheetPr>
    <tabColor rgb="FF00B050"/>
  </sheetPr>
  <dimension ref="A1:N42"/>
  <sheetViews>
    <sheetView workbookViewId="0">
      <selection activeCell="F29" sqref="F29"/>
    </sheetView>
  </sheetViews>
  <sheetFormatPr defaultRowHeight="14.4" x14ac:dyDescent="0.3"/>
  <cols>
    <col min="1" max="1" width="12.44140625" bestFit="1" customWidth="1"/>
    <col min="2" max="2" width="16.109375" bestFit="1" customWidth="1"/>
    <col min="3" max="4" width="12.44140625" bestFit="1" customWidth="1"/>
    <col min="5" max="6" width="16.109375" bestFit="1" customWidth="1"/>
    <col min="7" max="7" width="12.44140625" bestFit="1" customWidth="1"/>
    <col min="8" max="8" width="16.109375" bestFit="1" customWidth="1"/>
    <col min="9" max="9" width="12.44140625" bestFit="1" customWidth="1"/>
    <col min="10" max="10" width="16.109375" bestFit="1" customWidth="1"/>
    <col min="11" max="11" width="12.44140625" bestFit="1" customWidth="1"/>
    <col min="12" max="12" width="16.109375" bestFit="1" customWidth="1"/>
    <col min="13" max="13" width="12.44140625" bestFit="1" customWidth="1"/>
    <col min="14" max="14" width="16.109375" bestFit="1" customWidth="1"/>
    <col min="15" max="15" width="12.44140625" bestFit="1" customWidth="1"/>
    <col min="16" max="16" width="16.109375" bestFit="1" customWidth="1"/>
    <col min="17" max="17" width="5" bestFit="1" customWidth="1"/>
    <col min="18" max="18" width="5.33203125" bestFit="1" customWidth="1"/>
    <col min="19" max="19" width="5" bestFit="1" customWidth="1"/>
    <col min="20" max="20" width="5.77734375" bestFit="1" customWidth="1"/>
    <col min="21" max="21" width="6" bestFit="1" customWidth="1"/>
    <col min="22" max="22" width="5" bestFit="1" customWidth="1"/>
    <col min="23" max="23" width="5.6640625" bestFit="1" customWidth="1"/>
    <col min="24" max="24" width="5.88671875" bestFit="1" customWidth="1"/>
    <col min="25" max="25" width="10.5546875" bestFit="1" customWidth="1"/>
  </cols>
  <sheetData>
    <row r="1" spans="1:14" x14ac:dyDescent="0.3">
      <c r="A1" t="s">
        <v>918</v>
      </c>
      <c r="B1" t="s">
        <v>919</v>
      </c>
      <c r="C1" t="s">
        <v>920</v>
      </c>
    </row>
    <row r="2" spans="1:14" x14ac:dyDescent="0.3">
      <c r="A2" s="5">
        <v>200</v>
      </c>
      <c r="B2" s="5">
        <v>128</v>
      </c>
      <c r="C2" s="5">
        <v>42</v>
      </c>
      <c r="M2" s="3" t="s">
        <v>916</v>
      </c>
      <c r="N2" t="s">
        <v>918</v>
      </c>
    </row>
    <row r="3" spans="1:14" x14ac:dyDescent="0.3">
      <c r="M3" s="4" t="s">
        <v>945</v>
      </c>
      <c r="N3" s="5">
        <v>1</v>
      </c>
    </row>
    <row r="4" spans="1:14" x14ac:dyDescent="0.3">
      <c r="A4" s="3" t="s">
        <v>916</v>
      </c>
      <c r="B4" t="s">
        <v>918</v>
      </c>
      <c r="C4" s="3" t="s">
        <v>916</v>
      </c>
      <c r="D4" t="s">
        <v>918</v>
      </c>
      <c r="E4" s="3" t="s">
        <v>916</v>
      </c>
      <c r="F4" t="s">
        <v>918</v>
      </c>
      <c r="G4" s="3" t="s">
        <v>916</v>
      </c>
      <c r="H4" t="s">
        <v>918</v>
      </c>
      <c r="J4" s="3" t="s">
        <v>916</v>
      </c>
      <c r="K4" t="s">
        <v>918</v>
      </c>
      <c r="M4" s="4" t="s">
        <v>943</v>
      </c>
      <c r="N4" s="5">
        <v>1</v>
      </c>
    </row>
    <row r="5" spans="1:14" x14ac:dyDescent="0.3">
      <c r="A5" s="4">
        <v>1</v>
      </c>
      <c r="B5" s="5">
        <v>24</v>
      </c>
      <c r="C5" s="4" t="s">
        <v>921</v>
      </c>
      <c r="D5" s="5">
        <v>78</v>
      </c>
      <c r="E5" s="4" t="s">
        <v>26</v>
      </c>
      <c r="F5" s="5">
        <v>58</v>
      </c>
      <c r="G5" s="4" t="s">
        <v>20</v>
      </c>
      <c r="H5" s="5">
        <v>90</v>
      </c>
      <c r="J5" s="4" t="s">
        <v>928</v>
      </c>
      <c r="K5" s="5">
        <v>28</v>
      </c>
      <c r="M5" s="4" t="s">
        <v>942</v>
      </c>
      <c r="N5" s="5">
        <v>22</v>
      </c>
    </row>
    <row r="6" spans="1:14" x14ac:dyDescent="0.3">
      <c r="A6" s="4">
        <v>2</v>
      </c>
      <c r="B6" s="5">
        <v>34</v>
      </c>
      <c r="C6" s="4" t="s">
        <v>922</v>
      </c>
      <c r="D6" s="5">
        <v>122</v>
      </c>
      <c r="E6" s="4" t="s">
        <v>35</v>
      </c>
      <c r="F6" s="5">
        <v>46</v>
      </c>
      <c r="G6" s="4" t="s">
        <v>27</v>
      </c>
      <c r="H6" s="5">
        <v>71</v>
      </c>
      <c r="J6" s="4" t="s">
        <v>929</v>
      </c>
      <c r="K6" s="5">
        <v>63</v>
      </c>
      <c r="M6" s="4" t="s">
        <v>938</v>
      </c>
      <c r="N6" s="5">
        <v>94</v>
      </c>
    </row>
    <row r="7" spans="1:14" x14ac:dyDescent="0.3">
      <c r="A7" s="4">
        <v>3</v>
      </c>
      <c r="B7" s="5">
        <v>42</v>
      </c>
      <c r="C7" s="4" t="s">
        <v>917</v>
      </c>
      <c r="D7" s="5">
        <v>200</v>
      </c>
      <c r="E7" s="4" t="s">
        <v>19</v>
      </c>
      <c r="F7" s="5">
        <v>96</v>
      </c>
      <c r="G7" s="4" t="s">
        <v>848</v>
      </c>
      <c r="H7" s="5">
        <v>39</v>
      </c>
      <c r="J7" s="4" t="s">
        <v>923</v>
      </c>
      <c r="K7" s="5">
        <v>65</v>
      </c>
      <c r="M7" s="4" t="s">
        <v>937</v>
      </c>
      <c r="N7" s="5">
        <v>32</v>
      </c>
    </row>
    <row r="8" spans="1:14" x14ac:dyDescent="0.3">
      <c r="A8" s="4">
        <v>4</v>
      </c>
      <c r="B8" s="5">
        <v>52</v>
      </c>
      <c r="E8" s="4" t="s">
        <v>917</v>
      </c>
      <c r="F8" s="5">
        <v>200</v>
      </c>
      <c r="G8" s="4" t="s">
        <v>917</v>
      </c>
      <c r="H8" s="5">
        <v>200</v>
      </c>
      <c r="J8" s="4" t="s">
        <v>927</v>
      </c>
      <c r="K8" s="5">
        <v>29</v>
      </c>
      <c r="M8" s="4" t="s">
        <v>940</v>
      </c>
      <c r="N8" s="5">
        <v>28</v>
      </c>
    </row>
    <row r="9" spans="1:14" x14ac:dyDescent="0.3">
      <c r="A9" s="4">
        <v>5</v>
      </c>
      <c r="B9" s="5">
        <v>48</v>
      </c>
      <c r="J9" s="4" t="s">
        <v>930</v>
      </c>
      <c r="K9" s="5">
        <v>15</v>
      </c>
      <c r="M9" s="4" t="s">
        <v>941</v>
      </c>
      <c r="N9" s="5">
        <v>9</v>
      </c>
    </row>
    <row r="10" spans="1:14" x14ac:dyDescent="0.3">
      <c r="A10" s="4" t="s">
        <v>917</v>
      </c>
      <c r="B10" s="5">
        <v>200</v>
      </c>
      <c r="J10" s="4" t="s">
        <v>917</v>
      </c>
      <c r="K10" s="5">
        <v>200</v>
      </c>
      <c r="M10" s="4" t="s">
        <v>939</v>
      </c>
      <c r="N10" s="5">
        <v>8</v>
      </c>
    </row>
    <row r="11" spans="1:14" x14ac:dyDescent="0.3">
      <c r="M11" s="4" t="s">
        <v>947</v>
      </c>
      <c r="N11" s="5">
        <v>3</v>
      </c>
    </row>
    <row r="12" spans="1:14" x14ac:dyDescent="0.3">
      <c r="A12" s="3" t="s">
        <v>916</v>
      </c>
      <c r="B12" t="s">
        <v>918</v>
      </c>
      <c r="D12" s="3" t="s">
        <v>916</v>
      </c>
      <c r="E12" t="s">
        <v>918</v>
      </c>
      <c r="G12" s="3" t="s">
        <v>916</v>
      </c>
      <c r="H12" t="s">
        <v>918</v>
      </c>
      <c r="I12" s="3" t="s">
        <v>918</v>
      </c>
      <c r="J12" s="3" t="s">
        <v>936</v>
      </c>
      <c r="M12" s="4" t="s">
        <v>946</v>
      </c>
      <c r="N12" s="5">
        <v>1</v>
      </c>
    </row>
    <row r="13" spans="1:14" x14ac:dyDescent="0.3">
      <c r="A13" s="4" t="s">
        <v>26</v>
      </c>
      <c r="B13" s="5">
        <v>58</v>
      </c>
      <c r="D13" s="4" t="s">
        <v>924</v>
      </c>
      <c r="E13" s="5">
        <v>101</v>
      </c>
      <c r="G13" s="4" t="s">
        <v>26</v>
      </c>
      <c r="H13" s="5">
        <v>58</v>
      </c>
      <c r="I13" s="3" t="s">
        <v>916</v>
      </c>
      <c r="J13" t="s">
        <v>926</v>
      </c>
      <c r="K13" t="s">
        <v>925</v>
      </c>
      <c r="L13" t="s">
        <v>917</v>
      </c>
      <c r="M13" s="4" t="s">
        <v>944</v>
      </c>
      <c r="N13" s="5">
        <v>1</v>
      </c>
    </row>
    <row r="14" spans="1:14" x14ac:dyDescent="0.3">
      <c r="A14" s="4" t="s">
        <v>35</v>
      </c>
      <c r="B14" s="5">
        <v>46</v>
      </c>
      <c r="D14" s="4" t="s">
        <v>931</v>
      </c>
      <c r="E14" s="5">
        <v>9</v>
      </c>
      <c r="G14" s="4" t="s">
        <v>35</v>
      </c>
      <c r="H14" s="5">
        <v>46</v>
      </c>
      <c r="I14" s="4">
        <v>1</v>
      </c>
      <c r="J14" s="5">
        <v>18</v>
      </c>
      <c r="K14" s="5">
        <v>6</v>
      </c>
      <c r="L14" s="5">
        <v>24</v>
      </c>
      <c r="M14" s="4" t="s">
        <v>917</v>
      </c>
      <c r="N14" s="5">
        <v>200</v>
      </c>
    </row>
    <row r="15" spans="1:14" x14ac:dyDescent="0.3">
      <c r="A15" s="4" t="s">
        <v>19</v>
      </c>
      <c r="B15" s="5">
        <v>96</v>
      </c>
      <c r="D15" s="4" t="s">
        <v>932</v>
      </c>
      <c r="E15" s="5">
        <v>35</v>
      </c>
      <c r="G15" s="4" t="s">
        <v>19</v>
      </c>
      <c r="H15" s="5">
        <v>96</v>
      </c>
      <c r="I15" s="4">
        <v>2</v>
      </c>
      <c r="J15" s="5">
        <v>26</v>
      </c>
      <c r="K15" s="5">
        <v>8</v>
      </c>
      <c r="L15" s="5">
        <v>34</v>
      </c>
    </row>
    <row r="16" spans="1:14" x14ac:dyDescent="0.3">
      <c r="A16" s="4" t="s">
        <v>917</v>
      </c>
      <c r="B16" s="5">
        <v>200</v>
      </c>
      <c r="D16" s="4" t="s">
        <v>933</v>
      </c>
      <c r="E16" s="5">
        <v>55</v>
      </c>
      <c r="G16" s="4" t="s">
        <v>917</v>
      </c>
      <c r="H16" s="5">
        <v>200</v>
      </c>
      <c r="I16" s="4">
        <v>3</v>
      </c>
      <c r="J16" s="5">
        <v>31</v>
      </c>
      <c r="K16" s="5">
        <v>11</v>
      </c>
      <c r="L16" s="5">
        <v>42</v>
      </c>
    </row>
    <row r="17" spans="1:14" x14ac:dyDescent="0.3">
      <c r="D17" s="4" t="s">
        <v>917</v>
      </c>
      <c r="E17" s="5">
        <v>200</v>
      </c>
      <c r="I17" s="4">
        <v>4</v>
      </c>
      <c r="J17" s="5">
        <v>41</v>
      </c>
      <c r="K17" s="5">
        <v>11</v>
      </c>
      <c r="L17" s="5">
        <v>52</v>
      </c>
    </row>
    <row r="18" spans="1:14" x14ac:dyDescent="0.3">
      <c r="I18" s="4">
        <v>5</v>
      </c>
      <c r="J18" s="5">
        <v>38</v>
      </c>
      <c r="K18" s="5">
        <v>10</v>
      </c>
      <c r="L18" s="5">
        <v>48</v>
      </c>
    </row>
    <row r="19" spans="1:14" x14ac:dyDescent="0.3">
      <c r="I19" s="4" t="s">
        <v>917</v>
      </c>
      <c r="J19" s="5">
        <v>154</v>
      </c>
      <c r="K19" s="5">
        <v>46</v>
      </c>
      <c r="L19" s="5">
        <v>200</v>
      </c>
    </row>
    <row r="20" spans="1:14" x14ac:dyDescent="0.3">
      <c r="A20" s="3" t="s">
        <v>916</v>
      </c>
      <c r="B20" t="s">
        <v>918</v>
      </c>
      <c r="I20" s="3" t="s">
        <v>6</v>
      </c>
      <c r="J20" t="s" vm="1">
        <v>948</v>
      </c>
      <c r="K20" s="3" t="s">
        <v>6</v>
      </c>
      <c r="L20" t="s" vm="1">
        <v>948</v>
      </c>
      <c r="M20" s="3" t="s">
        <v>6</v>
      </c>
      <c r="N20" t="s" vm="1">
        <v>948</v>
      </c>
    </row>
    <row r="21" spans="1:14" x14ac:dyDescent="0.3">
      <c r="A21" s="4" t="s">
        <v>293</v>
      </c>
      <c r="B21" s="5">
        <v>16</v>
      </c>
    </row>
    <row r="22" spans="1:14" x14ac:dyDescent="0.3">
      <c r="A22" s="4" t="s">
        <v>360</v>
      </c>
      <c r="B22" s="5">
        <v>6</v>
      </c>
      <c r="I22" s="3" t="s">
        <v>916</v>
      </c>
      <c r="J22" t="s">
        <v>918</v>
      </c>
      <c r="K22" s="3" t="s">
        <v>916</v>
      </c>
      <c r="L22" t="s">
        <v>918</v>
      </c>
      <c r="M22" s="3" t="s">
        <v>916</v>
      </c>
      <c r="N22" t="s">
        <v>918</v>
      </c>
    </row>
    <row r="23" spans="1:14" x14ac:dyDescent="0.3">
      <c r="A23" s="4" t="s">
        <v>309</v>
      </c>
      <c r="B23" s="5">
        <v>23</v>
      </c>
      <c r="I23" s="4" t="s">
        <v>340</v>
      </c>
      <c r="J23" s="5">
        <v>8</v>
      </c>
      <c r="K23" s="4" t="s">
        <v>281</v>
      </c>
      <c r="L23" s="5">
        <v>49</v>
      </c>
      <c r="M23" s="4" t="s">
        <v>269</v>
      </c>
      <c r="N23" s="5">
        <v>4</v>
      </c>
    </row>
    <row r="24" spans="1:14" x14ac:dyDescent="0.3">
      <c r="A24" s="4" t="s">
        <v>563</v>
      </c>
      <c r="B24" s="5">
        <v>1</v>
      </c>
      <c r="I24" s="4" t="s">
        <v>318</v>
      </c>
      <c r="J24" s="5">
        <v>7</v>
      </c>
      <c r="K24" s="4" t="s">
        <v>848</v>
      </c>
      <c r="L24" s="5">
        <v>24</v>
      </c>
      <c r="M24" s="4" t="s">
        <v>362</v>
      </c>
      <c r="N24" s="5">
        <v>4</v>
      </c>
    </row>
    <row r="25" spans="1:14" x14ac:dyDescent="0.3">
      <c r="A25" s="4" t="s">
        <v>648</v>
      </c>
      <c r="B25" s="5">
        <v>1</v>
      </c>
      <c r="I25" s="4" t="s">
        <v>324</v>
      </c>
      <c r="J25" s="5">
        <v>6</v>
      </c>
      <c r="K25" s="4" t="s">
        <v>309</v>
      </c>
      <c r="L25" s="5">
        <v>23</v>
      </c>
      <c r="M25" s="4" t="s">
        <v>305</v>
      </c>
      <c r="N25" s="5">
        <v>4</v>
      </c>
    </row>
    <row r="26" spans="1:14" x14ac:dyDescent="0.3">
      <c r="A26" s="4" t="s">
        <v>274</v>
      </c>
      <c r="B26" s="5">
        <v>8</v>
      </c>
      <c r="I26" s="4" t="s">
        <v>295</v>
      </c>
      <c r="J26" s="5">
        <v>6</v>
      </c>
      <c r="K26" s="4" t="s">
        <v>293</v>
      </c>
      <c r="L26" s="5">
        <v>16</v>
      </c>
      <c r="M26" s="4" t="s">
        <v>878</v>
      </c>
      <c r="N26" s="5">
        <v>4</v>
      </c>
    </row>
    <row r="27" spans="1:14" x14ac:dyDescent="0.3">
      <c r="A27" s="4" t="s">
        <v>299</v>
      </c>
      <c r="B27" s="5">
        <v>12</v>
      </c>
      <c r="I27" s="4" t="s">
        <v>284</v>
      </c>
      <c r="J27" s="5">
        <v>6</v>
      </c>
      <c r="K27" s="4" t="s">
        <v>43</v>
      </c>
      <c r="L27" s="5">
        <v>16</v>
      </c>
      <c r="M27" s="4" t="s">
        <v>876</v>
      </c>
      <c r="N27" s="5">
        <v>3</v>
      </c>
    </row>
    <row r="28" spans="1:14" x14ac:dyDescent="0.3">
      <c r="A28" s="4" t="s">
        <v>328</v>
      </c>
      <c r="B28" s="5">
        <v>7</v>
      </c>
      <c r="I28" s="4" t="s">
        <v>917</v>
      </c>
      <c r="J28" s="5">
        <v>33</v>
      </c>
      <c r="K28" s="4" t="s">
        <v>917</v>
      </c>
      <c r="L28" s="5">
        <v>128</v>
      </c>
      <c r="M28" s="4" t="s">
        <v>853</v>
      </c>
      <c r="N28" s="5">
        <v>3</v>
      </c>
    </row>
    <row r="29" spans="1:14" x14ac:dyDescent="0.3">
      <c r="A29" s="4" t="s">
        <v>315</v>
      </c>
      <c r="B29" s="5">
        <v>10</v>
      </c>
      <c r="M29" s="4" t="s">
        <v>917</v>
      </c>
      <c r="N29" s="5">
        <v>22</v>
      </c>
    </row>
    <row r="30" spans="1:14" x14ac:dyDescent="0.3">
      <c r="A30" s="4" t="s">
        <v>663</v>
      </c>
      <c r="B30" s="5">
        <v>1</v>
      </c>
    </row>
    <row r="31" spans="1:14" x14ac:dyDescent="0.3">
      <c r="A31" s="4" t="s">
        <v>629</v>
      </c>
      <c r="B31" s="5">
        <v>3</v>
      </c>
    </row>
    <row r="32" spans="1:14" x14ac:dyDescent="0.3">
      <c r="A32" s="4" t="s">
        <v>367</v>
      </c>
      <c r="B32" s="5">
        <v>5</v>
      </c>
    </row>
    <row r="33" spans="1:2" x14ac:dyDescent="0.3">
      <c r="A33" s="4" t="s">
        <v>345</v>
      </c>
      <c r="B33" s="5">
        <v>2</v>
      </c>
    </row>
    <row r="34" spans="1:2" x14ac:dyDescent="0.3">
      <c r="A34" s="4" t="s">
        <v>633</v>
      </c>
      <c r="B34" s="5">
        <v>1</v>
      </c>
    </row>
    <row r="35" spans="1:2" x14ac:dyDescent="0.3">
      <c r="A35" s="4" t="s">
        <v>389</v>
      </c>
      <c r="B35" s="5">
        <v>4</v>
      </c>
    </row>
    <row r="36" spans="1:2" x14ac:dyDescent="0.3">
      <c r="A36" s="4" t="s">
        <v>544</v>
      </c>
      <c r="B36" s="5">
        <v>8</v>
      </c>
    </row>
    <row r="37" spans="1:2" x14ac:dyDescent="0.3">
      <c r="A37" s="4" t="s">
        <v>601</v>
      </c>
      <c r="B37" s="5">
        <v>2</v>
      </c>
    </row>
    <row r="38" spans="1:2" x14ac:dyDescent="0.3">
      <c r="A38" s="4" t="s">
        <v>583</v>
      </c>
      <c r="B38" s="5">
        <v>1</v>
      </c>
    </row>
    <row r="39" spans="1:2" x14ac:dyDescent="0.3">
      <c r="A39" s="4" t="s">
        <v>43</v>
      </c>
      <c r="B39" s="5">
        <v>16</v>
      </c>
    </row>
    <row r="40" spans="1:2" x14ac:dyDescent="0.3">
      <c r="A40" s="4" t="s">
        <v>848</v>
      </c>
      <c r="B40" s="5">
        <v>24</v>
      </c>
    </row>
    <row r="41" spans="1:2" x14ac:dyDescent="0.3">
      <c r="A41" s="4" t="s">
        <v>281</v>
      </c>
      <c r="B41" s="5">
        <v>49</v>
      </c>
    </row>
    <row r="42" spans="1:2" x14ac:dyDescent="0.3">
      <c r="A42" s="4" t="s">
        <v>917</v>
      </c>
      <c r="B42" s="5">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0471B-9FC7-4663-9AAD-88DF4C764A3E}">
  <sheetPr>
    <tabColor rgb="FF00B050"/>
  </sheetPr>
  <dimension ref="A1"/>
  <sheetViews>
    <sheetView showGridLines="0" showRowColHeaders="0" tabSelected="1" zoomScaleNormal="100" workbookViewId="0">
      <selection activeCell="G34" sqref="G34"/>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Tarek</dc:creator>
  <cp:lastModifiedBy>student3</cp:lastModifiedBy>
  <dcterms:created xsi:type="dcterms:W3CDTF">2025-11-15T01:30:39Z</dcterms:created>
  <dcterms:modified xsi:type="dcterms:W3CDTF">2025-11-15T23:30:57Z</dcterms:modified>
</cp:coreProperties>
</file>